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qui\Desktop\"/>
    </mc:Choice>
  </mc:AlternateContent>
  <xr:revisionPtr revIDLastSave="0" documentId="13_ncr:1_{9003E19C-0440-496A-A92B-0E9ABF4F73D1}" xr6:coauthVersionLast="47" xr6:coauthVersionMax="47" xr10:uidLastSave="{00000000-0000-0000-0000-000000000000}"/>
  <bookViews>
    <workbookView xWindow="28680" yWindow="-600" windowWidth="25440" windowHeight="15270" xr2:uid="{00000000-000D-0000-FFFF-FFFF00000000}"/>
  </bookViews>
  <sheets>
    <sheet name="BAQUEIRA " sheetId="1" r:id="rId1"/>
    <sheet name="SIERRA NEVADA" sheetId="2" r:id="rId2"/>
    <sheet name="VALDESQUI" sheetId="3" r:id="rId3"/>
    <sheet name="LA PINILLA" sheetId="4" r:id="rId4"/>
  </sheets>
  <definedNames>
    <definedName name="_xlnm.Print_Titles" localSheetId="0">'BAQUEIRA '!$3:$8</definedName>
    <definedName name="_xlnm.Print_Titles" localSheetId="3">'LA PINILLA'!$3:$8</definedName>
    <definedName name="_xlnm.Print_Titles" localSheetId="1">'SIERRA NEVADA'!$3:$8</definedName>
    <definedName name="_xlnm.Print_Titles" localSheetId="2">VALDESQUI!$3:$8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2" l="1"/>
  <c r="O61" i="2"/>
  <c r="N61" i="2"/>
  <c r="M61" i="2"/>
  <c r="L61" i="2"/>
  <c r="K61" i="2"/>
  <c r="H61" i="2"/>
  <c r="G61" i="2"/>
  <c r="F61" i="2"/>
  <c r="E61" i="2"/>
  <c r="D61" i="2"/>
  <c r="C61" i="2"/>
  <c r="P60" i="2"/>
  <c r="O60" i="2"/>
  <c r="N60" i="2"/>
  <c r="M60" i="2"/>
  <c r="L60" i="2"/>
  <c r="K60" i="2"/>
  <c r="H60" i="2"/>
  <c r="G60" i="2"/>
  <c r="F60" i="2"/>
  <c r="E60" i="2"/>
  <c r="D60" i="2"/>
  <c r="C60" i="2"/>
  <c r="P59" i="2"/>
  <c r="O59" i="2"/>
  <c r="N59" i="2"/>
  <c r="M59" i="2"/>
  <c r="L59" i="2"/>
  <c r="K59" i="2"/>
  <c r="H59" i="2"/>
  <c r="G59" i="2"/>
  <c r="F59" i="2"/>
  <c r="E59" i="2"/>
  <c r="D59" i="2"/>
  <c r="C59" i="2"/>
  <c r="P58" i="2"/>
  <c r="O58" i="2"/>
  <c r="N58" i="2"/>
  <c r="M58" i="2"/>
  <c r="L58" i="2"/>
  <c r="K58" i="2"/>
  <c r="H58" i="2"/>
  <c r="G58" i="2"/>
  <c r="F58" i="2"/>
  <c r="E58" i="2"/>
  <c r="D58" i="2"/>
  <c r="C58" i="2"/>
  <c r="P70" i="1"/>
  <c r="O70" i="1"/>
  <c r="N70" i="1"/>
  <c r="M70" i="1"/>
  <c r="L70" i="1"/>
  <c r="K70" i="1"/>
  <c r="H70" i="1"/>
  <c r="G70" i="1"/>
  <c r="F70" i="1"/>
  <c r="E70" i="1"/>
  <c r="D70" i="1"/>
  <c r="C70" i="1"/>
</calcChain>
</file>

<file path=xl/sharedStrings.xml><?xml version="1.0" encoding="utf-8"?>
<sst xmlns="http://schemas.openxmlformats.org/spreadsheetml/2006/main" count="579" uniqueCount="122">
  <si>
    <t>BAQUEIRA · TARIFAS TEMPORADA 25/26</t>
  </si>
  <si>
    <t>ALQUILER DE MATERIAL</t>
  </si>
  <si>
    <t xml:space="preserve">El producto tiene que pedir datos : fecha , nombre </t>
  </si>
  <si>
    <t>TEMPORADA MEDIA</t>
  </si>
  <si>
    <t>TEMPORADA ALTA</t>
  </si>
  <si>
    <t>COMPLETO SIN CASCO</t>
  </si>
  <si>
    <t>1 día</t>
  </si>
  <si>
    <t>2 días</t>
  </si>
  <si>
    <t>3 días</t>
  </si>
  <si>
    <t>4 días</t>
  </si>
  <si>
    <t>5 días</t>
  </si>
  <si>
    <t>6 días</t>
  </si>
  <si>
    <t>7 días</t>
  </si>
  <si>
    <t>Equipo completo de esquí media adulto</t>
  </si>
  <si>
    <t>Equipo completo de esquí alta adulto</t>
  </si>
  <si>
    <t>Equipo completo de esquí niño</t>
  </si>
  <si>
    <t>CON CASCO</t>
  </si>
  <si>
    <t>(Esquís, botas, bastones casco)</t>
  </si>
  <si>
    <t>CASCO</t>
  </si>
  <si>
    <t>ESQUIS/tabla</t>
  </si>
  <si>
    <t>Infantil</t>
  </si>
  <si>
    <t>Adulto media</t>
  </si>
  <si>
    <t>Adulto alta</t>
  </si>
  <si>
    <t>Botas</t>
  </si>
  <si>
    <t>Casco</t>
  </si>
  <si>
    <t xml:space="preserve">lockers </t>
  </si>
  <si>
    <t>lockers ARMARIO 3 EQUIPOS</t>
  </si>
  <si>
    <t>Guarda individual</t>
  </si>
  <si>
    <t>ESCUELA</t>
  </si>
  <si>
    <t>El producto tiene que pedir datos : fecha , nombre , edad, nivel, hora</t>
  </si>
  <si>
    <t>CURSO COLECTIVO 3 HORAS- 10-13 Ó 13-16 (TODAS LAS EDADES)</t>
  </si>
  <si>
    <t>ESCUELITA 10-15 (SOLO NIÑOS DE 4 A 6 AÑOS)</t>
  </si>
  <si>
    <t xml:space="preserve">TEMPORADA MEDIA </t>
  </si>
  <si>
    <t>CLASES PARTICULARES  ESQUÍ/SNOW BAQUEIRA</t>
  </si>
  <si>
    <t>1 PERSONA</t>
  </si>
  <si>
    <t>2 PERSONAS</t>
  </si>
  <si>
    <t>3 PERSONAS</t>
  </si>
  <si>
    <t>4 PERSONAS</t>
  </si>
  <si>
    <t>5 PERSONAS</t>
  </si>
  <si>
    <t>6 PERSONAS</t>
  </si>
  <si>
    <t>CLASES PARTICULARES  ESQUÍ/SNOW</t>
  </si>
  <si>
    <t>1 HORA</t>
  </si>
  <si>
    <t>2 HORAS</t>
  </si>
  <si>
    <t>3 HORAS</t>
  </si>
  <si>
    <t>4 HORAS</t>
  </si>
  <si>
    <t>5 HORAS</t>
  </si>
  <si>
    <t>6 HORAS</t>
  </si>
  <si>
    <t>CLASES PARTICULARES  ESQUÍ/SNOW BERET</t>
  </si>
  <si>
    <t>FF</t>
  </si>
  <si>
    <t>ADULTO</t>
  </si>
  <si>
    <t>INFANTIL (6 A 11 AÑOS)</t>
  </si>
  <si>
    <t>BABY (&lt;=5 AÑOS)</t>
  </si>
  <si>
    <t>SEGURO FF</t>
  </si>
  <si>
    <t>MENU BOCADILLO</t>
  </si>
  <si>
    <t>LOS PACKS ALL IN ONE SON COMBINACIONES DE LOS PRODUCTOS SIMPLES QUE DEPENDEN Y A ESOS PRODUCTOS HACER EL 5% DE DESCUENTO Y TENER CADA PECULIARIDAD DE LOS PRODUCTOS SIMPLES, CON DISPONIBILIDAD Y TAREAS</t>
  </si>
  <si>
    <t>ALL IN ONE FF+ALQUILER + CURSO ADULTO</t>
  </si>
  <si>
    <t xml:space="preserve">FORFAIT + EQUIPO COMPLETO SIN CASCO + CURSO </t>
  </si>
  <si>
    <t>ALL IN ONE FF+ALQUILER + CURSO NIÑO (6 A 11 AÑOS)</t>
  </si>
  <si>
    <t>ALL IN ONE FF+ALQUILER + CURSO BABY</t>
  </si>
  <si>
    <t>ALL IN ONE FF+ALQUILER + ESCUELITA BABY</t>
  </si>
  <si>
    <t>FORFAIT + EQUIPO COMPLETO SIN CASCO + ESCUELITA</t>
  </si>
  <si>
    <t>NIVELES PARA CURSOS Y CLASES PARTICULARES</t>
  </si>
  <si>
    <t>ESQUI</t>
  </si>
  <si>
    <t>FRANJAS DE EDAD</t>
  </si>
  <si>
    <t>Nivel A: nunca he esquiado, he probado alguna vez de forma ocasional</t>
  </si>
  <si>
    <t>Nivel B: hago giros de cuña o empiezo la curva en cuña y termino en paralelo</t>
  </si>
  <si>
    <t>4-6 AÑOS</t>
  </si>
  <si>
    <t>BABY</t>
  </si>
  <si>
    <t>Nivel C: giro en paralelo básico en pistas verdes y azules, con dificultad en pistas rojas</t>
  </si>
  <si>
    <t>6-10 AÑOS</t>
  </si>
  <si>
    <t>INFANTIL</t>
  </si>
  <si>
    <t>Nivel D: esquí en paralelo en todo tipo de pistas, combino virajes largos y cortos</t>
  </si>
  <si>
    <t>11-15 AÑOS</t>
  </si>
  <si>
    <t>ADOLESTE</t>
  </si>
  <si>
    <t>16 O + AÑOS</t>
  </si>
  <si>
    <t>adulto</t>
  </si>
  <si>
    <t>SNOW</t>
  </si>
  <si>
    <t>Nivel A: Iniciación al deporte, adaptación al material y movimiento básicos en onefoot</t>
  </si>
  <si>
    <t>Nivel B: Derrapaje en talones y puntas, inicio al giro y primeras subidas en telesilla</t>
  </si>
  <si>
    <t>Nivel C: Giros derrapados, desplazamiento por la estación e iniciación a la conducción</t>
  </si>
  <si>
    <t>Nivel D: Perfeccionamiento de la conducción , inicio al freeride y freestyle</t>
  </si>
  <si>
    <t>MOTOS MONTAGRRI</t>
  </si>
  <si>
    <t>EXCURSIÓN +COMIDA</t>
  </si>
  <si>
    <t>MOTO BIPLAZA</t>
  </si>
  <si>
    <t>MOTO INDIVIDUAL</t>
  </si>
  <si>
    <t>EXCURSIÓN +CENA</t>
  </si>
  <si>
    <t>EXCURSIÓN SOLO MOTO</t>
  </si>
  <si>
    <t>SnowCAMP</t>
  </si>
  <si>
    <t>El producto tiene que pedir datos : nombre niño, fecha nacimiento, alergias, dni tutor q recogera</t>
  </si>
  <si>
    <t>Snowcamp 1800</t>
  </si>
  <si>
    <t xml:space="preserve">3 días </t>
  </si>
  <si>
    <t>Niño de 3 a 7 años. Día completo (09:00-16:30)</t>
  </si>
  <si>
    <t>Niño de 3 a 7 años. Mañana (09:00-14:00)</t>
  </si>
  <si>
    <t>Niño de 3 a 6 años. Tarde (13:00-16:30)</t>
  </si>
  <si>
    <t>Snowcamp 1500</t>
  </si>
  <si>
    <t>Niño 6 meses a 3 años. Día completo (08:30-16:45)</t>
  </si>
  <si>
    <t>Niño de 6 meses a 3 años. Mañana (08:30-14:00)</t>
  </si>
  <si>
    <t>Niño de 6 meses a 3 años. Tarde (13:00-16:45)</t>
  </si>
  <si>
    <t>baby beret</t>
  </si>
  <si>
    <t>Niño de 3 a 6 años. Día completo (09:00-16:30)</t>
  </si>
  <si>
    <t>Niño de 3 a 6 años. Mañana (09:00-14:00)</t>
  </si>
  <si>
    <t>TRINEO DE PERROS MONTGARRI</t>
  </si>
  <si>
    <t>PERROS +COMIDA</t>
  </si>
  <si>
    <t>NIÑO</t>
  </si>
  <si>
    <t>PERROS +CENA</t>
  </si>
  <si>
    <t>SOLO TRINEO 20 MINUTOS</t>
  </si>
  <si>
    <t>TAXI</t>
  </si>
  <si>
    <t>BAQUEIRA  A PISTA</t>
  </si>
  <si>
    <t>BAQUEIRA - LLEIDA</t>
  </si>
  <si>
    <t>BAQUEIRA -BARCELONA</t>
  </si>
  <si>
    <t>BAQUEIRA-TOULOSSE</t>
  </si>
  <si>
    <t>SIERRA NEVADA · TARIFAS TEMPORADA 25/26</t>
  </si>
  <si>
    <t xml:space="preserve">CLASES PARTICULARES  ESQUÍ/SNOW </t>
  </si>
  <si>
    <t>VALDESQUI · TARIFAS TEMPORADA 25/26</t>
  </si>
  <si>
    <t>LA PINILLA · TARIFAS TEMPORADA 25/26</t>
  </si>
  <si>
    <t>BAJA</t>
  </si>
  <si>
    <t>ALTA</t>
  </si>
  <si>
    <t>(Esquís, botas, bastones)</t>
  </si>
  <si>
    <t>CURSO COLECTIVO 3 HORAS- 10-13 Ó 13-16</t>
  </si>
  <si>
    <t>ESCUELITA 10-15</t>
  </si>
  <si>
    <t>ADULTO (12 a 64 años)</t>
  </si>
  <si>
    <t>INFANTIL (6-11 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</si>
</sst>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\ &quot;€&quot;"/>
    <numFmt numFmtId="165" formatCode="#,##0\€"/>
    <numFmt numFmtId="166" formatCode="#,##0.00\€"/>
  </numFmts>
  <fonts count="8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BarlowSemiCondensed-Regular"/>
      <family val="2"/>
      <charset val="1"/>
    </font>
    <font>
      <b/>
      <sz val="12"/>
      <color rgb="FFFFFFFF"/>
      <name val="Aptos Narrow"/>
    </font>
    <font>
      <b/>
      <i/>
      <sz val="11"/>
      <name val="Aptos Narrow"/>
    </font>
    <font>
      <b/>
      <sz val="11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BFCFD"/>
      </patternFill>
    </fill>
    <fill>
      <patternFill patternType="solid">
        <fgColor rgb="FFF8D7DA"/>
      </patternFill>
    </fill>
    <fill>
      <patternFill patternType="solid">
        <fgColor rgb="FFDCEFD9"/>
      </patternFill>
    </fill>
    <fill>
      <patternFill patternType="solid">
        <fgColor rgb="FFE9D9F4"/>
      </patternFill>
    </fill>
    <fill>
      <patternFill patternType="solid">
        <fgColor rgb="FFF2F2F2"/>
      </patternFill>
    </fill>
    <fill>
      <patternFill patternType="solid">
        <fgColor rgb="FF7A3E00"/>
      </patternFill>
    </fill>
    <fill>
      <patternFill patternType="solid">
        <fgColor rgb="FFFCE4D6"/>
      </patternFill>
    </fill>
    <fill>
      <patternFill patternType="solid">
        <fgColor rgb="FF385723"/>
      </patternFill>
    </fill>
    <fill>
      <patternFill patternType="solid">
        <fgColor rgb="FF5B2C83"/>
      </patternFill>
    </fill>
    <fill>
      <patternFill patternType="solid">
        <fgColor rgb="FFEDE3F7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0D7DE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0D7DE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 style="thin">
        <color rgb="FFD9D9D9"/>
      </top>
      <bottom style="thin">
        <color rgb="FFD9D9D9"/>
      </bottom>
      <diagonal/>
    </border>
    <border>
      <left style="dashed">
        <color rgb="FFD0D7DE"/>
      </left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808080"/>
      </bottom>
      <diagonal/>
    </border>
    <border>
      <left/>
      <right style="medium">
        <color rgb="FF666666"/>
      </right>
      <top/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8" borderId="9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164" fontId="1" fillId="0" borderId="9" xfId="0" applyNumberFormat="1" applyFont="1" applyBorder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8" fontId="6" fillId="8" borderId="9" xfId="0" applyNumberFormat="1" applyFont="1" applyFill="1" applyBorder="1" applyAlignment="1">
      <alignment vertical="center" wrapText="1"/>
    </xf>
    <xf numFmtId="8" fontId="1" fillId="0" borderId="0" xfId="0" applyNumberFormat="1" applyFont="1" applyAlignment="1">
      <alignment vertical="center" wrapText="1"/>
    </xf>
    <xf numFmtId="8" fontId="6" fillId="0" borderId="9" xfId="0" applyNumberFormat="1" applyFont="1" applyBorder="1" applyAlignment="1">
      <alignment vertical="center" wrapText="1"/>
    </xf>
    <xf numFmtId="8" fontId="1" fillId="0" borderId="5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8" fontId="1" fillId="0" borderId="9" xfId="0" applyNumberFormat="1" applyFont="1" applyBorder="1" applyAlignment="1">
      <alignment vertical="center" wrapText="1"/>
    </xf>
    <xf numFmtId="8" fontId="1" fillId="8" borderId="9" xfId="0" applyNumberFormat="1" applyFont="1" applyFill="1" applyBorder="1" applyAlignment="1">
      <alignment vertical="center" wrapText="1"/>
    </xf>
    <xf numFmtId="164" fontId="1" fillId="8" borderId="9" xfId="0" applyNumberFormat="1" applyFont="1" applyFill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vertical="center" wrapText="1"/>
    </xf>
    <xf numFmtId="164" fontId="1" fillId="0" borderId="10" xfId="0" applyNumberFormat="1" applyFont="1" applyBorder="1" applyAlignment="1">
      <alignment vertical="center" wrapText="1"/>
    </xf>
    <xf numFmtId="8" fontId="1" fillId="0" borderId="10" xfId="0" applyNumberFormat="1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8" fontId="1" fillId="8" borderId="10" xfId="0" applyNumberFormat="1" applyFont="1" applyFill="1" applyBorder="1" applyAlignment="1">
      <alignment vertical="center" wrapText="1"/>
    </xf>
    <xf numFmtId="164" fontId="1" fillId="8" borderId="10" xfId="0" applyNumberFormat="1" applyFont="1" applyFill="1" applyBorder="1" applyAlignment="1">
      <alignment vertical="center" wrapText="1"/>
    </xf>
    <xf numFmtId="0" fontId="0" fillId="0" borderId="14" xfId="0" applyBorder="1"/>
    <xf numFmtId="0" fontId="1" fillId="7" borderId="16" xfId="0" applyFont="1" applyFill="1" applyBorder="1" applyAlignment="1">
      <alignment vertical="center" wrapText="1"/>
    </xf>
    <xf numFmtId="0" fontId="7" fillId="6" borderId="11" xfId="0" applyFont="1" applyFill="1" applyBorder="1" applyAlignment="1">
      <alignment vertical="center" wrapText="1"/>
    </xf>
    <xf numFmtId="0" fontId="7" fillId="7" borderId="17" xfId="0" applyFont="1" applyFill="1" applyBorder="1" applyAlignment="1">
      <alignment vertical="center" wrapText="1"/>
    </xf>
    <xf numFmtId="0" fontId="7" fillId="12" borderId="12" xfId="0" applyFont="1" applyFill="1" applyBorder="1" applyAlignment="1">
      <alignment horizontal="center" vertical="center" wrapText="1"/>
    </xf>
    <xf numFmtId="165" fontId="1" fillId="8" borderId="9" xfId="0" applyNumberFormat="1" applyFont="1" applyFill="1" applyBorder="1" applyAlignment="1">
      <alignment vertical="center" wrapText="1"/>
    </xf>
    <xf numFmtId="166" fontId="1" fillId="8" borderId="9" xfId="0" applyNumberFormat="1" applyFont="1" applyFill="1" applyBorder="1" applyAlignment="1">
      <alignment vertical="center" wrapText="1"/>
    </xf>
    <xf numFmtId="166" fontId="1" fillId="8" borderId="10" xfId="0" applyNumberFormat="1" applyFont="1" applyFill="1" applyBorder="1" applyAlignment="1">
      <alignment vertical="center" wrapText="1"/>
    </xf>
    <xf numFmtId="0" fontId="7" fillId="6" borderId="9" xfId="0" applyFont="1" applyFill="1" applyBorder="1" applyAlignment="1">
      <alignment vertical="center" wrapText="1"/>
    </xf>
    <xf numFmtId="165" fontId="7" fillId="6" borderId="9" xfId="0" applyNumberFormat="1" applyFont="1" applyFill="1" applyBorder="1" applyAlignment="1">
      <alignment vertical="center" wrapText="1"/>
    </xf>
    <xf numFmtId="166" fontId="7" fillId="6" borderId="9" xfId="0" applyNumberFormat="1" applyFont="1" applyFill="1" applyBorder="1" applyAlignment="1">
      <alignment vertical="center" wrapText="1"/>
    </xf>
    <xf numFmtId="165" fontId="7" fillId="6" borderId="10" xfId="0" applyNumberFormat="1" applyFont="1" applyFill="1" applyBorder="1" applyAlignment="1">
      <alignment vertical="center" wrapText="1"/>
    </xf>
    <xf numFmtId="0" fontId="1" fillId="7" borderId="17" xfId="0" applyFont="1" applyFill="1" applyBorder="1" applyAlignment="1">
      <alignment vertical="center" wrapText="1"/>
    </xf>
    <xf numFmtId="0" fontId="6" fillId="12" borderId="11" xfId="0" applyFont="1" applyFill="1" applyBorder="1" applyAlignment="1">
      <alignment vertical="center" wrapText="1"/>
    </xf>
    <xf numFmtId="0" fontId="6" fillId="12" borderId="17" xfId="0" applyFont="1" applyFill="1" applyBorder="1" applyAlignment="1">
      <alignment vertical="center" wrapText="1"/>
    </xf>
    <xf numFmtId="165" fontId="1" fillId="0" borderId="9" xfId="0" applyNumberFormat="1" applyFont="1" applyBorder="1" applyAlignment="1">
      <alignment vertical="center" wrapText="1"/>
    </xf>
    <xf numFmtId="165" fontId="1" fillId="0" borderId="10" xfId="0" applyNumberFormat="1" applyFont="1" applyBorder="1" applyAlignment="1">
      <alignment vertical="center" wrapText="1"/>
    </xf>
    <xf numFmtId="166" fontId="7" fillId="12" borderId="12" xfId="0" applyNumberFormat="1" applyFont="1" applyFill="1" applyBorder="1" applyAlignment="1">
      <alignment horizontal="center" vertical="center" wrapText="1"/>
    </xf>
    <xf numFmtId="165" fontId="7" fillId="12" borderId="12" xfId="0" applyNumberFormat="1" applyFont="1" applyFill="1" applyBorder="1" applyAlignment="1">
      <alignment horizontal="center" vertical="center" wrapText="1"/>
    </xf>
    <xf numFmtId="166" fontId="1" fillId="0" borderId="9" xfId="0" applyNumberFormat="1" applyFont="1" applyBorder="1" applyAlignment="1">
      <alignment vertical="center" wrapText="1"/>
    </xf>
    <xf numFmtId="166" fontId="1" fillId="0" borderId="6" xfId="0" applyNumberFormat="1" applyFont="1" applyBorder="1" applyAlignment="1">
      <alignment vertical="center" wrapText="1"/>
    </xf>
    <xf numFmtId="165" fontId="1" fillId="0" borderId="6" xfId="0" applyNumberFormat="1" applyFont="1" applyBorder="1" applyAlignment="1">
      <alignment vertical="center" wrapText="1"/>
    </xf>
    <xf numFmtId="166" fontId="1" fillId="0" borderId="10" xfId="0" applyNumberFormat="1" applyFont="1" applyBorder="1" applyAlignment="1">
      <alignment vertical="center" wrapText="1"/>
    </xf>
    <xf numFmtId="0" fontId="7" fillId="12" borderId="1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165" fontId="1" fillId="8" borderId="10" xfId="0" applyNumberFormat="1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0" fillId="7" borderId="16" xfId="0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0" fillId="8" borderId="9" xfId="0" applyFill="1" applyBorder="1" applyAlignment="1">
      <alignment vertical="center" wrapText="1"/>
    </xf>
    <xf numFmtId="165" fontId="0" fillId="8" borderId="9" xfId="0" applyNumberForma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165" fontId="0" fillId="0" borderId="9" xfId="0" applyNumberFormat="1" applyBorder="1" applyAlignment="1">
      <alignment vertical="center" wrapText="1"/>
    </xf>
    <xf numFmtId="0" fontId="7" fillId="14" borderId="11" xfId="0" applyFont="1" applyFill="1" applyBorder="1" applyAlignment="1">
      <alignment vertical="center" wrapText="1"/>
    </xf>
    <xf numFmtId="0" fontId="7" fillId="9" borderId="11" xfId="0" applyFont="1" applyFill="1" applyBorder="1" applyAlignment="1">
      <alignment vertical="center" wrapText="1"/>
    </xf>
    <xf numFmtId="0" fontId="7" fillId="9" borderId="9" xfId="0" applyFont="1" applyFill="1" applyBorder="1" applyAlignment="1">
      <alignment vertical="center" wrapText="1"/>
    </xf>
    <xf numFmtId="165" fontId="7" fillId="9" borderId="9" xfId="0" applyNumberFormat="1" applyFont="1" applyFill="1" applyBorder="1" applyAlignment="1">
      <alignment vertical="center" wrapText="1"/>
    </xf>
    <xf numFmtId="166" fontId="7" fillId="9" borderId="9" xfId="0" applyNumberFormat="1" applyFont="1" applyFill="1" applyBorder="1" applyAlignment="1">
      <alignment vertical="center" wrapText="1"/>
    </xf>
    <xf numFmtId="165" fontId="7" fillId="9" borderId="10" xfId="0" applyNumberFormat="1" applyFont="1" applyFill="1" applyBorder="1" applyAlignment="1">
      <alignment vertical="center" wrapText="1"/>
    </xf>
    <xf numFmtId="0" fontId="7" fillId="10" borderId="11" xfId="0" applyFont="1" applyFill="1" applyBorder="1" applyAlignment="1">
      <alignment vertical="center" wrapText="1"/>
    </xf>
    <xf numFmtId="0" fontId="7" fillId="17" borderId="11" xfId="0" applyFont="1" applyFill="1" applyBorder="1" applyAlignment="1">
      <alignment vertical="center" wrapText="1"/>
    </xf>
    <xf numFmtId="0" fontId="7" fillId="11" borderId="11" xfId="0" applyFont="1" applyFill="1" applyBorder="1" applyAlignment="1">
      <alignment vertical="center" wrapText="1"/>
    </xf>
    <xf numFmtId="0" fontId="7" fillId="11" borderId="9" xfId="0" applyFont="1" applyFill="1" applyBorder="1" applyAlignment="1">
      <alignment vertical="center" wrapText="1"/>
    </xf>
    <xf numFmtId="165" fontId="7" fillId="11" borderId="9" xfId="0" applyNumberFormat="1" applyFont="1" applyFill="1" applyBorder="1" applyAlignment="1">
      <alignment vertical="center" wrapText="1"/>
    </xf>
    <xf numFmtId="166" fontId="7" fillId="11" borderId="9" xfId="0" applyNumberFormat="1" applyFont="1" applyFill="1" applyBorder="1" applyAlignment="1">
      <alignment vertical="center" wrapText="1"/>
    </xf>
    <xf numFmtId="0" fontId="6" fillId="12" borderId="12" xfId="0" applyFont="1" applyFill="1" applyBorder="1" applyAlignment="1">
      <alignment vertical="center" wrapText="1"/>
    </xf>
    <xf numFmtId="0" fontId="7" fillId="12" borderId="12" xfId="0" applyFont="1" applyFill="1" applyBorder="1" applyAlignment="1">
      <alignment horizontal="center" vertical="center" wrapText="1"/>
    </xf>
    <xf numFmtId="0" fontId="0" fillId="0" borderId="11" xfId="0" applyBorder="1"/>
    <xf numFmtId="0" fontId="7" fillId="6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64" fontId="7" fillId="12" borderId="12" xfId="0" applyNumberFormat="1" applyFont="1" applyFill="1" applyBorder="1" applyAlignment="1">
      <alignment horizontal="center" vertical="center" wrapText="1"/>
    </xf>
    <xf numFmtId="164" fontId="7" fillId="9" borderId="11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8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4" fillId="8" borderId="13" xfId="0" applyFont="1" applyFill="1" applyBorder="1" applyAlignment="1">
      <alignment vertical="center" wrapText="1"/>
    </xf>
    <xf numFmtId="165" fontId="1" fillId="0" borderId="13" xfId="0" applyNumberFormat="1" applyFont="1" applyBorder="1" applyAlignment="1">
      <alignment vertical="center" wrapText="1"/>
    </xf>
    <xf numFmtId="166" fontId="1" fillId="8" borderId="13" xfId="0" applyNumberFormat="1" applyFont="1" applyFill="1" applyBorder="1" applyAlignment="1">
      <alignment vertical="center" wrapText="1"/>
    </xf>
    <xf numFmtId="166" fontId="1" fillId="0" borderId="13" xfId="0" applyNumberFormat="1" applyFont="1" applyBorder="1" applyAlignment="1">
      <alignment vertical="center" wrapText="1"/>
    </xf>
    <xf numFmtId="165" fontId="1" fillId="8" borderId="13" xfId="0" applyNumberFormat="1" applyFont="1" applyFill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165" fontId="1" fillId="8" borderId="1" xfId="0" applyNumberFormat="1" applyFont="1" applyFill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P16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D148" sqref="D148"/>
    </sheetView>
  </sheetViews>
  <sheetFormatPr baseColWidth="10" defaultRowHeight="14.4"/>
  <cols>
    <col min="1" max="1" width="38" bestFit="1" customWidth="1"/>
    <col min="2" max="2" width="49.88671875" customWidth="1"/>
    <col min="3" max="3" width="14" customWidth="1"/>
    <col min="4" max="7" width="12" customWidth="1"/>
    <col min="8" max="8" width="10" bestFit="1" customWidth="1"/>
    <col min="9" max="9" width="21.6640625" bestFit="1" customWidth="1"/>
    <col min="10" max="10" width="14" customWidth="1"/>
    <col min="11" max="15" width="12" customWidth="1"/>
    <col min="16" max="16" width="10" customWidth="1"/>
  </cols>
  <sheetData>
    <row r="1" spans="1:16" ht="18" customHeight="1">
      <c r="I1" s="30"/>
    </row>
    <row r="2" spans="1:16" ht="18" customHeight="1">
      <c r="H2" s="23"/>
      <c r="I2" s="30"/>
    </row>
    <row r="3" spans="1:16" ht="30" customHeight="1">
      <c r="A3" s="88" t="s">
        <v>0</v>
      </c>
      <c r="B3" s="89"/>
      <c r="C3" s="89"/>
      <c r="D3" s="89"/>
      <c r="E3" s="89"/>
      <c r="F3" s="89"/>
      <c r="G3" s="89"/>
      <c r="H3" s="89"/>
      <c r="I3" s="90"/>
      <c r="J3" s="89"/>
      <c r="K3" s="89"/>
      <c r="L3" s="89"/>
      <c r="M3" s="89"/>
      <c r="N3" s="89"/>
      <c r="O3" s="89"/>
      <c r="P3" s="91"/>
    </row>
    <row r="4" spans="1:16" ht="18" customHeight="1" thickBot="1">
      <c r="A4" s="2"/>
      <c r="B4" s="3"/>
      <c r="C4" s="3"/>
      <c r="D4" s="3"/>
      <c r="E4" s="3"/>
      <c r="F4" s="3"/>
      <c r="G4" s="3"/>
      <c r="H4" s="24"/>
      <c r="I4" s="31"/>
      <c r="J4" s="2"/>
      <c r="K4" s="3"/>
      <c r="L4" s="3"/>
      <c r="M4" s="3"/>
      <c r="N4" s="3"/>
      <c r="O4" s="3"/>
      <c r="P4" s="4"/>
    </row>
    <row r="5" spans="1:16" ht="18" customHeight="1" thickBot="1">
      <c r="A5" s="2"/>
      <c r="B5" s="3"/>
      <c r="C5" s="3"/>
      <c r="D5" s="3"/>
      <c r="E5" s="3"/>
      <c r="F5" s="3"/>
      <c r="G5" s="3"/>
      <c r="H5" s="24"/>
      <c r="I5" s="31"/>
      <c r="J5" s="2"/>
      <c r="K5" s="3"/>
      <c r="L5" s="3"/>
      <c r="M5" s="3"/>
      <c r="N5" s="3"/>
      <c r="O5" s="3"/>
      <c r="P5" s="4"/>
    </row>
    <row r="6" spans="1:16" ht="42" customHeight="1">
      <c r="A6" s="32" t="s">
        <v>1</v>
      </c>
      <c r="B6" s="32" t="s">
        <v>2</v>
      </c>
      <c r="C6" s="3"/>
      <c r="D6" s="3"/>
      <c r="E6" s="3"/>
      <c r="F6" s="3"/>
      <c r="G6" s="3"/>
      <c r="H6" s="24"/>
      <c r="I6" s="31"/>
      <c r="J6" s="2"/>
      <c r="K6" s="3"/>
      <c r="L6" s="3"/>
      <c r="M6" s="3"/>
      <c r="N6" s="3"/>
      <c r="O6" s="3"/>
      <c r="P6" s="4"/>
    </row>
    <row r="7" spans="1:16" ht="18" customHeight="1">
      <c r="A7" s="32" t="s">
        <v>3</v>
      </c>
      <c r="B7" s="84" t="s">
        <v>3</v>
      </c>
      <c r="C7" s="83"/>
      <c r="D7" s="83"/>
      <c r="E7" s="83"/>
      <c r="F7" s="83"/>
      <c r="G7" s="83"/>
      <c r="H7" s="83"/>
      <c r="I7" s="33"/>
      <c r="J7" s="85" t="s">
        <v>4</v>
      </c>
      <c r="K7" s="83"/>
      <c r="L7" s="83"/>
      <c r="M7" s="83"/>
      <c r="N7" s="83"/>
      <c r="O7" s="83"/>
      <c r="P7" s="83"/>
    </row>
    <row r="8" spans="1:16" ht="18" customHeight="1">
      <c r="A8" s="34" t="s">
        <v>5</v>
      </c>
      <c r="B8" s="34" t="s">
        <v>6</v>
      </c>
      <c r="C8" s="34" t="s">
        <v>7</v>
      </c>
      <c r="D8" s="34" t="s">
        <v>8</v>
      </c>
      <c r="E8" s="34" t="s">
        <v>9</v>
      </c>
      <c r="F8" s="34" t="s">
        <v>10</v>
      </c>
      <c r="G8" s="34" t="s">
        <v>11</v>
      </c>
      <c r="H8" s="34" t="s">
        <v>12</v>
      </c>
      <c r="I8" s="31"/>
      <c r="J8" s="34" t="s">
        <v>6</v>
      </c>
      <c r="K8" s="34" t="s">
        <v>7</v>
      </c>
      <c r="L8" s="34" t="s">
        <v>8</v>
      </c>
      <c r="M8" s="34" t="s">
        <v>9</v>
      </c>
      <c r="N8" s="34" t="s">
        <v>10</v>
      </c>
      <c r="O8" s="34" t="s">
        <v>11</v>
      </c>
      <c r="P8" s="34" t="s">
        <v>12</v>
      </c>
    </row>
    <row r="9" spans="1:16" ht="30" customHeight="1">
      <c r="A9" s="6" t="s">
        <v>13</v>
      </c>
      <c r="B9" s="35">
        <v>36</v>
      </c>
      <c r="C9" s="35">
        <v>72</v>
      </c>
      <c r="D9" s="35">
        <v>108</v>
      </c>
      <c r="E9" s="35">
        <v>144</v>
      </c>
      <c r="F9" s="36">
        <v>147.5</v>
      </c>
      <c r="G9" s="36">
        <v>148.5</v>
      </c>
      <c r="H9" s="37">
        <v>149.5</v>
      </c>
      <c r="I9" s="31"/>
      <c r="J9" s="35">
        <v>36</v>
      </c>
      <c r="K9" s="35">
        <v>72</v>
      </c>
      <c r="L9" s="35">
        <v>108</v>
      </c>
      <c r="M9" s="35">
        <v>144</v>
      </c>
      <c r="N9" s="36">
        <v>147.5</v>
      </c>
      <c r="O9" s="36">
        <v>148.5</v>
      </c>
      <c r="P9" s="36">
        <v>149.5</v>
      </c>
    </row>
    <row r="10" spans="1:16" ht="30" customHeight="1">
      <c r="A10" s="38" t="s">
        <v>14</v>
      </c>
      <c r="B10" s="39">
        <v>56</v>
      </c>
      <c r="C10" s="39">
        <v>111</v>
      </c>
      <c r="D10" s="39">
        <v>167</v>
      </c>
      <c r="E10" s="39">
        <v>222</v>
      </c>
      <c r="F10" s="40">
        <v>226.5</v>
      </c>
      <c r="G10" s="39">
        <v>231</v>
      </c>
      <c r="H10" s="41">
        <v>232</v>
      </c>
      <c r="I10" s="31"/>
      <c r="J10" s="39">
        <v>56</v>
      </c>
      <c r="K10" s="39">
        <v>111</v>
      </c>
      <c r="L10" s="39">
        <v>167</v>
      </c>
      <c r="M10" s="39">
        <v>222</v>
      </c>
      <c r="N10" s="40">
        <v>226.5</v>
      </c>
      <c r="O10" s="39">
        <v>231</v>
      </c>
      <c r="P10" s="39">
        <v>232</v>
      </c>
    </row>
    <row r="11" spans="1:16" ht="30" customHeight="1" thickBot="1">
      <c r="A11" s="6" t="s">
        <v>15</v>
      </c>
      <c r="B11" s="36">
        <v>24.5</v>
      </c>
      <c r="C11" s="36">
        <v>48.5</v>
      </c>
      <c r="D11" s="36">
        <v>72.5</v>
      </c>
      <c r="E11" s="36">
        <v>96.5</v>
      </c>
      <c r="F11" s="35">
        <v>101</v>
      </c>
      <c r="G11" s="36">
        <v>102.5</v>
      </c>
      <c r="H11" s="37">
        <v>103.5</v>
      </c>
      <c r="I11" s="31"/>
      <c r="J11" s="36">
        <v>24.5</v>
      </c>
      <c r="K11" s="36">
        <v>48.5</v>
      </c>
      <c r="L11" s="36">
        <v>72.5</v>
      </c>
      <c r="M11" s="36">
        <v>96.5</v>
      </c>
      <c r="N11" s="35">
        <v>101</v>
      </c>
      <c r="O11" s="36">
        <v>102.5</v>
      </c>
      <c r="P11" s="36">
        <v>103.5</v>
      </c>
    </row>
    <row r="12" spans="1:16" ht="18" customHeight="1" thickBot="1">
      <c r="A12" s="2"/>
      <c r="B12" s="3"/>
      <c r="C12" s="3"/>
      <c r="D12" s="3"/>
      <c r="E12" s="3"/>
      <c r="F12" s="3"/>
      <c r="G12" s="3"/>
      <c r="H12" s="24"/>
      <c r="I12" s="31"/>
      <c r="J12" s="2"/>
      <c r="K12" s="3"/>
      <c r="L12" s="3"/>
      <c r="M12" s="3"/>
      <c r="N12" s="3"/>
      <c r="O12" s="3"/>
      <c r="P12" s="4"/>
    </row>
    <row r="13" spans="1:16" ht="18" customHeight="1" thickBot="1">
      <c r="A13" s="2"/>
      <c r="B13" s="3"/>
      <c r="C13" s="3"/>
      <c r="D13" s="3"/>
      <c r="E13" s="3"/>
      <c r="F13" s="3"/>
      <c r="G13" s="3"/>
      <c r="H13" s="24"/>
      <c r="I13" s="31"/>
      <c r="J13" s="2"/>
      <c r="K13" s="3"/>
      <c r="L13" s="3"/>
      <c r="M13" s="3"/>
      <c r="N13" s="3"/>
      <c r="O13" s="3"/>
      <c r="P13" s="4"/>
    </row>
    <row r="14" spans="1:16" ht="18" customHeight="1">
      <c r="A14" s="32" t="s">
        <v>3</v>
      </c>
      <c r="B14" s="84" t="s">
        <v>3</v>
      </c>
      <c r="C14" s="83"/>
      <c r="D14" s="83"/>
      <c r="E14" s="83"/>
      <c r="F14" s="83"/>
      <c r="G14" s="83"/>
      <c r="H14" s="83"/>
      <c r="I14" s="42"/>
      <c r="J14" s="85" t="s">
        <v>4</v>
      </c>
      <c r="K14" s="83"/>
      <c r="L14" s="83"/>
      <c r="M14" s="83"/>
      <c r="N14" s="83"/>
      <c r="O14" s="83"/>
      <c r="P14" s="83"/>
    </row>
    <row r="15" spans="1:16" ht="18" customHeight="1">
      <c r="A15" s="43" t="s">
        <v>16</v>
      </c>
      <c r="B15" s="84" t="s">
        <v>3</v>
      </c>
      <c r="C15" s="83"/>
      <c r="D15" s="83"/>
      <c r="E15" s="83"/>
      <c r="F15" s="83"/>
      <c r="G15" s="83"/>
      <c r="H15" s="83"/>
      <c r="I15" s="44"/>
      <c r="J15" s="85" t="s">
        <v>4</v>
      </c>
      <c r="K15" s="83"/>
      <c r="L15" s="83"/>
      <c r="M15" s="83"/>
      <c r="N15" s="83"/>
      <c r="O15" s="83"/>
      <c r="P15" s="83"/>
    </row>
    <row r="16" spans="1:16" ht="30" customHeight="1">
      <c r="A16" s="34" t="s">
        <v>17</v>
      </c>
      <c r="B16" s="34" t="s">
        <v>6</v>
      </c>
      <c r="C16" s="34" t="s">
        <v>7</v>
      </c>
      <c r="D16" s="34" t="s">
        <v>8</v>
      </c>
      <c r="E16" s="34" t="s">
        <v>9</v>
      </c>
      <c r="F16" s="34" t="s">
        <v>10</v>
      </c>
      <c r="G16" s="34" t="s">
        <v>11</v>
      </c>
      <c r="H16" s="34" t="s">
        <v>12</v>
      </c>
      <c r="I16" s="31"/>
      <c r="J16" s="34" t="s">
        <v>6</v>
      </c>
      <c r="K16" s="34" t="s">
        <v>7</v>
      </c>
      <c r="L16" s="34" t="s">
        <v>8</v>
      </c>
      <c r="M16" s="34" t="s">
        <v>9</v>
      </c>
      <c r="N16" s="34" t="s">
        <v>10</v>
      </c>
      <c r="O16" s="34" t="s">
        <v>11</v>
      </c>
      <c r="P16" s="34" t="s">
        <v>12</v>
      </c>
    </row>
    <row r="17" spans="1:16" ht="30" customHeight="1">
      <c r="A17" s="6" t="s">
        <v>13</v>
      </c>
      <c r="B17" s="35">
        <v>43</v>
      </c>
      <c r="C17" s="35">
        <v>86</v>
      </c>
      <c r="D17" s="35">
        <v>129</v>
      </c>
      <c r="E17" s="35">
        <v>172</v>
      </c>
      <c r="F17" s="36">
        <v>179.5</v>
      </c>
      <c r="G17" s="36">
        <v>184.5</v>
      </c>
      <c r="H17" s="37">
        <v>189.5</v>
      </c>
      <c r="I17" s="31"/>
      <c r="J17" s="35">
        <v>43</v>
      </c>
      <c r="K17" s="35">
        <v>86</v>
      </c>
      <c r="L17" s="35">
        <v>129</v>
      </c>
      <c r="M17" s="35">
        <v>172</v>
      </c>
      <c r="N17" s="36">
        <v>179.5</v>
      </c>
      <c r="O17" s="36">
        <v>184.5</v>
      </c>
      <c r="P17" s="36">
        <v>189.5</v>
      </c>
    </row>
    <row r="18" spans="1:16" ht="30" customHeight="1" thickBot="1">
      <c r="A18" s="38" t="s">
        <v>14</v>
      </c>
      <c r="B18" s="39">
        <v>63</v>
      </c>
      <c r="C18" s="39">
        <v>125</v>
      </c>
      <c r="D18" s="39">
        <v>188</v>
      </c>
      <c r="E18" s="39">
        <v>250</v>
      </c>
      <c r="F18" s="40">
        <v>258.5</v>
      </c>
      <c r="G18" s="39">
        <v>267</v>
      </c>
      <c r="H18" s="41">
        <v>272</v>
      </c>
      <c r="I18" s="31"/>
      <c r="J18" s="39">
        <v>63</v>
      </c>
      <c r="K18" s="39">
        <v>125</v>
      </c>
      <c r="L18" s="39">
        <v>188</v>
      </c>
      <c r="M18" s="39">
        <v>250</v>
      </c>
      <c r="N18" s="40">
        <v>258.5</v>
      </c>
      <c r="O18" s="39">
        <v>267</v>
      </c>
      <c r="P18" s="39">
        <v>272</v>
      </c>
    </row>
    <row r="19" spans="1:16" ht="30" customHeight="1" thickBot="1">
      <c r="A19" s="6" t="s">
        <v>15</v>
      </c>
      <c r="B19" s="36">
        <v>31.5</v>
      </c>
      <c r="C19" s="36">
        <v>62.5</v>
      </c>
      <c r="D19" s="36">
        <v>93.5</v>
      </c>
      <c r="E19" s="36">
        <v>124.5</v>
      </c>
      <c r="F19" s="35">
        <v>133</v>
      </c>
      <c r="G19" s="36">
        <v>138.5</v>
      </c>
      <c r="H19" s="37">
        <v>143.5</v>
      </c>
      <c r="I19" s="31"/>
      <c r="J19" s="36">
        <v>31.5</v>
      </c>
      <c r="K19" s="36">
        <v>62.5</v>
      </c>
      <c r="L19" s="36">
        <v>93.5</v>
      </c>
      <c r="M19" s="36">
        <v>124.5</v>
      </c>
      <c r="N19" s="35">
        <v>133</v>
      </c>
      <c r="O19" s="36">
        <v>138.5</v>
      </c>
      <c r="P19" s="36">
        <v>143.5</v>
      </c>
    </row>
    <row r="20" spans="1:16" ht="18" customHeight="1">
      <c r="A20" s="17" t="s">
        <v>18</v>
      </c>
      <c r="B20" s="45">
        <v>7</v>
      </c>
      <c r="C20" s="45">
        <v>14</v>
      </c>
      <c r="D20" s="45">
        <v>21</v>
      </c>
      <c r="E20" s="45">
        <v>28</v>
      </c>
      <c r="F20" s="45">
        <v>32</v>
      </c>
      <c r="G20" s="45">
        <v>36</v>
      </c>
      <c r="H20" s="46">
        <v>40</v>
      </c>
      <c r="I20" s="31"/>
      <c r="J20" s="45">
        <v>7</v>
      </c>
      <c r="K20" s="45">
        <v>14</v>
      </c>
      <c r="L20" s="45">
        <v>21</v>
      </c>
      <c r="M20" s="45">
        <v>28</v>
      </c>
      <c r="N20" s="45">
        <v>32</v>
      </c>
      <c r="O20" s="45">
        <v>36</v>
      </c>
      <c r="P20" s="45">
        <v>40</v>
      </c>
    </row>
    <row r="21" spans="1:16" ht="18" customHeight="1">
      <c r="A21" s="32" t="s">
        <v>3</v>
      </c>
      <c r="B21" s="84" t="s">
        <v>3</v>
      </c>
      <c r="C21" s="83"/>
      <c r="D21" s="83"/>
      <c r="E21" s="83"/>
      <c r="F21" s="83"/>
      <c r="G21" s="83"/>
      <c r="H21" s="83"/>
      <c r="I21" s="33"/>
      <c r="J21" s="85" t="s">
        <v>4</v>
      </c>
      <c r="K21" s="83"/>
      <c r="L21" s="83"/>
      <c r="M21" s="83"/>
      <c r="N21" s="83"/>
      <c r="O21" s="83"/>
      <c r="P21" s="83"/>
    </row>
    <row r="22" spans="1:16" ht="18" customHeight="1">
      <c r="A22" s="34" t="s">
        <v>19</v>
      </c>
      <c r="B22" s="34" t="s">
        <v>6</v>
      </c>
      <c r="C22" s="34" t="s">
        <v>7</v>
      </c>
      <c r="D22" s="34" t="s">
        <v>8</v>
      </c>
      <c r="E22" s="34" t="s">
        <v>9</v>
      </c>
      <c r="F22" s="34" t="s">
        <v>10</v>
      </c>
      <c r="G22" s="34" t="s">
        <v>11</v>
      </c>
      <c r="H22" s="34" t="s">
        <v>12</v>
      </c>
      <c r="I22" s="31"/>
      <c r="J22" s="47">
        <v>15.95</v>
      </c>
      <c r="K22" s="47">
        <v>31.9</v>
      </c>
      <c r="L22" s="47">
        <v>47.9</v>
      </c>
      <c r="M22" s="47">
        <v>63.8</v>
      </c>
      <c r="N22" s="48">
        <v>66</v>
      </c>
      <c r="O22" s="47">
        <v>67.099999999999994</v>
      </c>
      <c r="P22" s="47">
        <v>67.55</v>
      </c>
    </row>
    <row r="23" spans="1:16" ht="18" customHeight="1" thickBot="1">
      <c r="A23" s="6" t="s">
        <v>20</v>
      </c>
      <c r="B23" s="36">
        <v>15.95</v>
      </c>
      <c r="C23" s="36">
        <v>31.9</v>
      </c>
      <c r="D23" s="36">
        <v>47.9</v>
      </c>
      <c r="E23" s="36">
        <v>63.8</v>
      </c>
      <c r="F23" s="35">
        <v>66</v>
      </c>
      <c r="G23" s="36">
        <v>67.099999999999994</v>
      </c>
      <c r="H23" s="37">
        <v>67.55</v>
      </c>
      <c r="I23" s="31"/>
      <c r="J23" s="36">
        <v>28.75</v>
      </c>
      <c r="K23" s="36">
        <v>57.5</v>
      </c>
      <c r="L23" s="36">
        <v>86.25</v>
      </c>
      <c r="M23" s="35">
        <v>115</v>
      </c>
      <c r="N23" s="35">
        <v>127</v>
      </c>
      <c r="O23" s="35">
        <v>128</v>
      </c>
      <c r="P23" s="35">
        <v>129</v>
      </c>
    </row>
    <row r="24" spans="1:16" ht="18" customHeight="1" thickBot="1">
      <c r="A24" s="17" t="s">
        <v>21</v>
      </c>
      <c r="B24" s="49">
        <v>28.75</v>
      </c>
      <c r="C24" s="49">
        <v>57.5</v>
      </c>
      <c r="D24" s="49">
        <v>86.25</v>
      </c>
      <c r="E24" s="45">
        <v>115</v>
      </c>
      <c r="F24" s="45">
        <v>127</v>
      </c>
      <c r="G24" s="45">
        <v>128</v>
      </c>
      <c r="H24" s="46">
        <v>129</v>
      </c>
      <c r="I24" s="31"/>
      <c r="J24" s="49">
        <v>48.25</v>
      </c>
      <c r="K24" s="49">
        <v>96.5</v>
      </c>
      <c r="L24" s="49">
        <v>144.75</v>
      </c>
      <c r="M24" s="45">
        <v>193</v>
      </c>
      <c r="N24" s="45">
        <v>205</v>
      </c>
      <c r="O24" s="45">
        <v>206</v>
      </c>
      <c r="P24" s="45">
        <v>207</v>
      </c>
    </row>
    <row r="25" spans="1:16" ht="18" customHeight="1">
      <c r="A25" s="38" t="s">
        <v>22</v>
      </c>
      <c r="B25" s="40">
        <v>48.25</v>
      </c>
      <c r="C25" s="40">
        <v>96.5</v>
      </c>
      <c r="D25" s="40">
        <v>144.75</v>
      </c>
      <c r="E25" s="39">
        <v>193</v>
      </c>
      <c r="F25" s="39">
        <v>205</v>
      </c>
      <c r="G25" s="39">
        <v>206</v>
      </c>
      <c r="H25" s="41">
        <v>207</v>
      </c>
      <c r="I25" s="31"/>
      <c r="J25" s="2"/>
      <c r="K25" s="3"/>
      <c r="L25" s="3"/>
      <c r="M25" s="3"/>
      <c r="N25" s="3"/>
      <c r="O25" s="3"/>
      <c r="P25" s="4"/>
    </row>
    <row r="26" spans="1:16" ht="18" customHeight="1" thickBot="1">
      <c r="A26" s="32" t="s">
        <v>3</v>
      </c>
      <c r="B26" s="84" t="s">
        <v>3</v>
      </c>
      <c r="C26" s="83"/>
      <c r="D26" s="83"/>
      <c r="E26" s="83"/>
      <c r="F26" s="83"/>
      <c r="G26" s="83"/>
      <c r="H26" s="83"/>
      <c r="I26" s="33"/>
      <c r="J26" s="85" t="s">
        <v>4</v>
      </c>
      <c r="K26" s="83"/>
      <c r="L26" s="83"/>
      <c r="M26" s="83"/>
      <c r="N26" s="83"/>
      <c r="O26" s="83"/>
      <c r="P26" s="83"/>
    </row>
    <row r="27" spans="1:16" ht="18" customHeight="1" thickBot="1">
      <c r="A27" s="34" t="s">
        <v>23</v>
      </c>
      <c r="B27" s="34" t="s">
        <v>6</v>
      </c>
      <c r="C27" s="34" t="s">
        <v>7</v>
      </c>
      <c r="D27" s="34" t="s">
        <v>8</v>
      </c>
      <c r="E27" s="34" t="s">
        <v>9</v>
      </c>
      <c r="F27" s="34" t="s">
        <v>10</v>
      </c>
      <c r="G27" s="34" t="s">
        <v>11</v>
      </c>
      <c r="H27" s="34" t="s">
        <v>12</v>
      </c>
      <c r="I27" s="31"/>
      <c r="J27" s="2"/>
      <c r="K27" s="3"/>
      <c r="L27" s="3"/>
      <c r="M27" s="3"/>
      <c r="N27" s="3"/>
      <c r="O27" s="3"/>
      <c r="P27" s="4"/>
    </row>
    <row r="28" spans="1:16" ht="18" customHeight="1" thickBot="1">
      <c r="A28" s="5"/>
      <c r="B28" s="50">
        <v>16.8</v>
      </c>
      <c r="C28" s="50">
        <v>33.700000000000003</v>
      </c>
      <c r="D28" s="50">
        <v>50.5</v>
      </c>
      <c r="E28" s="50">
        <v>67.5</v>
      </c>
      <c r="F28" s="50">
        <v>71.5</v>
      </c>
      <c r="G28" s="51">
        <v>72</v>
      </c>
      <c r="H28" s="52">
        <v>72.5</v>
      </c>
      <c r="I28" s="31"/>
      <c r="J28" s="50">
        <v>16.8</v>
      </c>
      <c r="K28" s="50">
        <v>33.700000000000003</v>
      </c>
      <c r="L28" s="50">
        <v>50.5</v>
      </c>
      <c r="M28" s="50">
        <v>67.5</v>
      </c>
      <c r="N28" s="50">
        <v>71.5</v>
      </c>
      <c r="O28" s="51">
        <v>72</v>
      </c>
      <c r="P28" s="50">
        <v>72.5</v>
      </c>
    </row>
    <row r="29" spans="1:16" ht="18" customHeight="1">
      <c r="A29" s="32" t="s">
        <v>3</v>
      </c>
      <c r="B29" s="84" t="s">
        <v>3</v>
      </c>
      <c r="C29" s="83"/>
      <c r="D29" s="83"/>
      <c r="E29" s="83"/>
      <c r="F29" s="83"/>
      <c r="G29" s="83"/>
      <c r="H29" s="83"/>
      <c r="I29" s="42"/>
      <c r="J29" s="85" t="s">
        <v>4</v>
      </c>
      <c r="K29" s="83"/>
      <c r="L29" s="83"/>
      <c r="M29" s="83"/>
      <c r="N29" s="83"/>
      <c r="O29" s="83"/>
      <c r="P29" s="83"/>
    </row>
    <row r="30" spans="1:16" ht="18" customHeight="1">
      <c r="A30" s="34" t="s">
        <v>24</v>
      </c>
      <c r="B30" s="82" t="s">
        <v>3</v>
      </c>
      <c r="C30" s="83"/>
      <c r="D30" s="83"/>
      <c r="E30" s="83"/>
      <c r="F30" s="83"/>
      <c r="G30" s="83"/>
      <c r="H30" s="83"/>
      <c r="I30" s="53"/>
      <c r="J30" s="82" t="s">
        <v>4</v>
      </c>
      <c r="K30" s="83"/>
      <c r="L30" s="83"/>
      <c r="M30" s="83"/>
      <c r="N30" s="83"/>
      <c r="O30" s="83"/>
      <c r="P30" s="83"/>
    </row>
    <row r="31" spans="1:16" ht="18" customHeight="1" thickBot="1">
      <c r="A31" s="5"/>
      <c r="B31" s="51">
        <v>7</v>
      </c>
      <c r="C31" s="51">
        <v>14</v>
      </c>
      <c r="D31" s="51">
        <v>21</v>
      </c>
      <c r="E31" s="51">
        <v>28</v>
      </c>
      <c r="F31" s="51">
        <v>32</v>
      </c>
      <c r="G31" s="51">
        <v>36</v>
      </c>
      <c r="H31" s="46">
        <v>40</v>
      </c>
      <c r="I31" s="31"/>
      <c r="J31" s="51">
        <v>7</v>
      </c>
      <c r="K31" s="51">
        <v>14</v>
      </c>
      <c r="L31" s="51">
        <v>21</v>
      </c>
      <c r="M31" s="51">
        <v>28</v>
      </c>
      <c r="N31" s="51">
        <v>32</v>
      </c>
      <c r="O31" s="51">
        <v>36</v>
      </c>
      <c r="P31" s="51">
        <v>40</v>
      </c>
    </row>
    <row r="32" spans="1:16" ht="18" customHeight="1" thickBot="1">
      <c r="A32" s="2"/>
      <c r="B32" s="3"/>
      <c r="C32" s="3"/>
      <c r="D32" s="3"/>
      <c r="E32" s="3"/>
      <c r="F32" s="3"/>
      <c r="G32" s="3"/>
      <c r="H32" s="24"/>
      <c r="I32" s="31"/>
      <c r="J32" s="2"/>
      <c r="K32" s="3"/>
      <c r="L32" s="3"/>
      <c r="M32" s="3"/>
      <c r="N32" s="3"/>
      <c r="O32" s="3"/>
      <c r="P32" s="4"/>
    </row>
    <row r="33" spans="1:16" ht="42" customHeight="1" thickBot="1">
      <c r="A33" s="54" t="s">
        <v>25</v>
      </c>
      <c r="B33" s="6" t="s">
        <v>2</v>
      </c>
      <c r="C33" s="3"/>
      <c r="D33" s="3"/>
      <c r="E33" s="3"/>
      <c r="F33" s="3"/>
      <c r="G33" s="3"/>
      <c r="H33" s="24"/>
      <c r="I33" s="31"/>
      <c r="J33" s="2"/>
      <c r="K33" s="3"/>
      <c r="L33" s="3"/>
      <c r="M33" s="3"/>
      <c r="N33" s="3"/>
      <c r="O33" s="3"/>
      <c r="P33" s="4"/>
    </row>
    <row r="34" spans="1:16" ht="18" customHeight="1">
      <c r="A34" s="32" t="s">
        <v>3</v>
      </c>
      <c r="B34" s="84" t="s">
        <v>3</v>
      </c>
      <c r="C34" s="83"/>
      <c r="D34" s="83"/>
      <c r="E34" s="83"/>
      <c r="F34" s="83"/>
      <c r="G34" s="83"/>
      <c r="H34" s="83"/>
      <c r="I34" s="42"/>
      <c r="J34" s="85" t="s">
        <v>4</v>
      </c>
      <c r="K34" s="83"/>
      <c r="L34" s="83"/>
      <c r="M34" s="83"/>
      <c r="N34" s="83"/>
      <c r="O34" s="83"/>
      <c r="P34" s="83"/>
    </row>
    <row r="35" spans="1:16" ht="18" customHeight="1">
      <c r="A35" s="55"/>
      <c r="B35" s="82" t="s">
        <v>3</v>
      </c>
      <c r="C35" s="83"/>
      <c r="D35" s="83"/>
      <c r="E35" s="83"/>
      <c r="F35" s="83"/>
      <c r="G35" s="83"/>
      <c r="H35" s="83"/>
      <c r="I35" s="53"/>
      <c r="J35" s="82" t="s">
        <v>4</v>
      </c>
      <c r="K35" s="83"/>
      <c r="L35" s="83"/>
      <c r="M35" s="83"/>
      <c r="N35" s="83"/>
      <c r="O35" s="83"/>
      <c r="P35" s="83"/>
    </row>
    <row r="36" spans="1:16" ht="30" customHeight="1">
      <c r="A36" s="17" t="s">
        <v>26</v>
      </c>
      <c r="B36" s="45">
        <v>20</v>
      </c>
      <c r="C36" s="45">
        <v>40</v>
      </c>
      <c r="D36" s="45">
        <v>60</v>
      </c>
      <c r="E36" s="45">
        <v>78</v>
      </c>
      <c r="F36" s="45">
        <v>95</v>
      </c>
      <c r="G36" s="45">
        <v>99</v>
      </c>
      <c r="H36" s="46">
        <v>118</v>
      </c>
      <c r="I36" s="31"/>
      <c r="J36" s="45">
        <v>20</v>
      </c>
      <c r="K36" s="45">
        <v>40</v>
      </c>
      <c r="L36" s="45">
        <v>60</v>
      </c>
      <c r="M36" s="45">
        <v>78</v>
      </c>
      <c r="N36" s="45">
        <v>95</v>
      </c>
      <c r="O36" s="45">
        <v>99</v>
      </c>
      <c r="P36" s="45">
        <v>118</v>
      </c>
    </row>
    <row r="37" spans="1:16" ht="18" customHeight="1" thickBot="1">
      <c r="A37" s="6" t="s">
        <v>27</v>
      </c>
      <c r="B37" s="35">
        <v>8</v>
      </c>
      <c r="C37" s="35">
        <v>16</v>
      </c>
      <c r="D37" s="35">
        <v>24</v>
      </c>
      <c r="E37" s="35">
        <v>32</v>
      </c>
      <c r="F37" s="35">
        <v>40</v>
      </c>
      <c r="G37" s="35">
        <v>44</v>
      </c>
      <c r="H37" s="56">
        <v>46</v>
      </c>
      <c r="I37" s="31"/>
      <c r="J37" s="35">
        <v>8</v>
      </c>
      <c r="K37" s="35">
        <v>16</v>
      </c>
      <c r="L37" s="35">
        <v>24</v>
      </c>
      <c r="M37" s="35">
        <v>32</v>
      </c>
      <c r="N37" s="35">
        <v>40</v>
      </c>
      <c r="O37" s="35">
        <v>44</v>
      </c>
      <c r="P37" s="35">
        <v>46</v>
      </c>
    </row>
    <row r="38" spans="1:16" ht="18" customHeight="1" thickBot="1">
      <c r="A38" s="2"/>
      <c r="B38" s="3"/>
      <c r="C38" s="3"/>
      <c r="D38" s="3"/>
      <c r="E38" s="3"/>
      <c r="F38" s="3"/>
      <c r="G38" s="3"/>
      <c r="H38" s="24"/>
      <c r="I38" s="31"/>
      <c r="J38" s="2"/>
      <c r="K38" s="3"/>
      <c r="L38" s="3"/>
      <c r="M38" s="3"/>
      <c r="N38" s="3"/>
      <c r="O38" s="3"/>
      <c r="P38" s="4"/>
    </row>
    <row r="39" spans="1:16" ht="42" customHeight="1" thickBot="1">
      <c r="A39" s="54" t="s">
        <v>28</v>
      </c>
      <c r="B39" s="6" t="s">
        <v>29</v>
      </c>
      <c r="C39" s="3"/>
      <c r="D39" s="3"/>
      <c r="E39" s="3"/>
      <c r="F39" s="3"/>
      <c r="G39" s="3"/>
      <c r="H39" s="24"/>
      <c r="I39" s="31"/>
      <c r="J39" s="2"/>
      <c r="K39" s="3"/>
      <c r="L39" s="3"/>
      <c r="M39" s="3"/>
      <c r="N39" s="3"/>
      <c r="O39" s="3"/>
      <c r="P39" s="4"/>
    </row>
    <row r="40" spans="1:16" ht="18" customHeight="1">
      <c r="A40" s="32" t="s">
        <v>3</v>
      </c>
      <c r="B40" s="84" t="s">
        <v>3</v>
      </c>
      <c r="C40" s="83"/>
      <c r="D40" s="83"/>
      <c r="E40" s="83"/>
      <c r="F40" s="83"/>
      <c r="G40" s="83"/>
      <c r="H40" s="83"/>
      <c r="I40" s="42"/>
      <c r="J40" s="85" t="s">
        <v>4</v>
      </c>
      <c r="K40" s="83"/>
      <c r="L40" s="83"/>
      <c r="M40" s="83"/>
      <c r="N40" s="83"/>
      <c r="O40" s="83"/>
      <c r="P40" s="83"/>
    </row>
    <row r="41" spans="1:16" ht="18" customHeight="1">
      <c r="A41" s="55"/>
      <c r="B41" s="82" t="s">
        <v>3</v>
      </c>
      <c r="C41" s="83"/>
      <c r="D41" s="83"/>
      <c r="E41" s="83"/>
      <c r="F41" s="83"/>
      <c r="G41" s="83"/>
      <c r="H41" s="83"/>
      <c r="I41" s="53"/>
      <c r="J41" s="82" t="s">
        <v>4</v>
      </c>
      <c r="K41" s="83"/>
      <c r="L41" s="83"/>
      <c r="M41" s="83"/>
      <c r="N41" s="83"/>
      <c r="O41" s="83"/>
      <c r="P41" s="83"/>
    </row>
    <row r="42" spans="1:16" ht="42" customHeight="1" thickBot="1">
      <c r="A42" s="34" t="s">
        <v>30</v>
      </c>
      <c r="B42" s="48">
        <v>61</v>
      </c>
      <c r="C42" s="48">
        <v>122</v>
      </c>
      <c r="D42" s="48">
        <v>183</v>
      </c>
      <c r="E42" s="48">
        <v>244</v>
      </c>
      <c r="F42" s="48">
        <v>305</v>
      </c>
      <c r="G42" s="48">
        <v>366</v>
      </c>
      <c r="H42" s="48">
        <v>427</v>
      </c>
      <c r="I42" s="31"/>
      <c r="J42" s="34" t="s">
        <v>6</v>
      </c>
      <c r="K42" s="34" t="s">
        <v>7</v>
      </c>
      <c r="L42" s="34" t="s">
        <v>8</v>
      </c>
      <c r="M42" s="34" t="s">
        <v>9</v>
      </c>
      <c r="N42" s="34" t="s">
        <v>10</v>
      </c>
      <c r="O42" s="34" t="s">
        <v>11</v>
      </c>
      <c r="P42" s="34" t="s">
        <v>12</v>
      </c>
    </row>
    <row r="43" spans="1:16" ht="30" customHeight="1" thickBot="1">
      <c r="A43" s="57" t="s">
        <v>31</v>
      </c>
      <c r="B43" s="35">
        <v>75</v>
      </c>
      <c r="C43" s="35">
        <v>150</v>
      </c>
      <c r="D43" s="35">
        <v>225</v>
      </c>
      <c r="E43" s="35">
        <v>300</v>
      </c>
      <c r="F43" s="35">
        <v>375</v>
      </c>
      <c r="G43" s="35">
        <v>450</v>
      </c>
      <c r="H43" s="56">
        <v>525</v>
      </c>
      <c r="I43" s="31"/>
      <c r="J43" s="35">
        <v>61</v>
      </c>
      <c r="K43" s="35">
        <v>122</v>
      </c>
      <c r="L43" s="35">
        <v>183</v>
      </c>
      <c r="M43" s="35">
        <v>244</v>
      </c>
      <c r="N43" s="35">
        <v>305</v>
      </c>
      <c r="O43" s="35">
        <v>366</v>
      </c>
      <c r="P43" s="35">
        <v>427</v>
      </c>
    </row>
    <row r="44" spans="1:16" ht="18" customHeight="1">
      <c r="A44" s="2"/>
      <c r="B44" s="3"/>
      <c r="C44" s="3"/>
      <c r="D44" s="3"/>
      <c r="E44" s="3"/>
      <c r="F44" s="3"/>
      <c r="G44" s="3"/>
      <c r="H44" s="24"/>
      <c r="I44" s="31"/>
      <c r="J44" s="51">
        <v>75</v>
      </c>
      <c r="K44" s="51">
        <v>150</v>
      </c>
      <c r="L44" s="51">
        <v>225</v>
      </c>
      <c r="M44" s="51">
        <v>300</v>
      </c>
      <c r="N44" s="51">
        <v>375</v>
      </c>
      <c r="O44" s="51">
        <v>450</v>
      </c>
      <c r="P44" s="51">
        <v>525</v>
      </c>
    </row>
    <row r="45" spans="1:16" ht="18" customHeight="1">
      <c r="A45" s="32" t="s">
        <v>32</v>
      </c>
      <c r="B45" s="84" t="s">
        <v>3</v>
      </c>
      <c r="C45" s="83"/>
      <c r="D45" s="83"/>
      <c r="E45" s="83"/>
      <c r="F45" s="83"/>
      <c r="G45" s="83"/>
      <c r="H45" s="83"/>
      <c r="I45" s="33"/>
      <c r="J45" s="85" t="s">
        <v>4</v>
      </c>
      <c r="K45" s="83"/>
      <c r="L45" s="83"/>
      <c r="M45" s="83"/>
      <c r="N45" s="83"/>
      <c r="O45" s="83"/>
      <c r="P45" s="83"/>
    </row>
    <row r="46" spans="1:16" ht="18" customHeight="1">
      <c r="A46" s="2"/>
      <c r="B46" s="3"/>
      <c r="C46" s="3"/>
      <c r="D46" s="3"/>
      <c r="E46" s="3"/>
      <c r="F46" s="3"/>
      <c r="G46" s="3"/>
      <c r="H46" s="24"/>
      <c r="I46" s="31"/>
      <c r="J46" s="2"/>
      <c r="K46" s="3"/>
      <c r="L46" s="3"/>
      <c r="M46" s="3"/>
      <c r="N46" s="3"/>
      <c r="O46" s="3"/>
      <c r="P46" s="4"/>
    </row>
    <row r="47" spans="1:16" ht="30" customHeight="1">
      <c r="A47" s="34" t="s">
        <v>33</v>
      </c>
      <c r="B47" s="34" t="s">
        <v>34</v>
      </c>
      <c r="C47" s="34" t="s">
        <v>35</v>
      </c>
      <c r="D47" s="34" t="s">
        <v>36</v>
      </c>
      <c r="E47" s="34" t="s">
        <v>37</v>
      </c>
      <c r="F47" s="34" t="s">
        <v>38</v>
      </c>
      <c r="G47" s="34" t="s">
        <v>39</v>
      </c>
      <c r="H47" s="24"/>
      <c r="I47" s="53" t="s">
        <v>40</v>
      </c>
      <c r="J47" s="34" t="s">
        <v>34</v>
      </c>
      <c r="K47" s="34" t="s">
        <v>35</v>
      </c>
      <c r="L47" s="34" t="s">
        <v>36</v>
      </c>
      <c r="M47" s="34" t="s">
        <v>37</v>
      </c>
      <c r="N47" s="34" t="s">
        <v>38</v>
      </c>
      <c r="O47" s="34" t="s">
        <v>39</v>
      </c>
      <c r="P47" s="4"/>
    </row>
    <row r="48" spans="1:16" ht="18" customHeight="1">
      <c r="A48" s="17" t="s">
        <v>41</v>
      </c>
      <c r="B48" s="45">
        <v>70</v>
      </c>
      <c r="C48" s="45">
        <v>75</v>
      </c>
      <c r="D48" s="45">
        <v>80</v>
      </c>
      <c r="E48" s="45">
        <v>85</v>
      </c>
      <c r="F48" s="45">
        <v>90</v>
      </c>
      <c r="G48" s="45">
        <v>95</v>
      </c>
      <c r="H48" s="24"/>
      <c r="I48" s="31" t="s">
        <v>41</v>
      </c>
      <c r="J48" s="45">
        <v>80</v>
      </c>
      <c r="K48" s="45">
        <v>85</v>
      </c>
      <c r="L48" s="45">
        <v>90</v>
      </c>
      <c r="M48" s="45">
        <v>95</v>
      </c>
      <c r="N48" s="45">
        <v>100</v>
      </c>
      <c r="O48" s="45">
        <v>105</v>
      </c>
      <c r="P48" s="4"/>
    </row>
    <row r="49" spans="1:16" ht="18" customHeight="1">
      <c r="A49" s="6" t="s">
        <v>42</v>
      </c>
      <c r="B49" s="35">
        <v>140</v>
      </c>
      <c r="C49" s="35">
        <v>145</v>
      </c>
      <c r="D49" s="35">
        <v>150</v>
      </c>
      <c r="E49" s="35">
        <v>155</v>
      </c>
      <c r="F49" s="35">
        <v>160</v>
      </c>
      <c r="G49" s="35">
        <v>165</v>
      </c>
      <c r="H49" s="24"/>
      <c r="I49" s="31" t="s">
        <v>42</v>
      </c>
      <c r="J49" s="35">
        <v>160</v>
      </c>
      <c r="K49" s="35">
        <v>165</v>
      </c>
      <c r="L49" s="35">
        <v>170</v>
      </c>
      <c r="M49" s="35">
        <v>175</v>
      </c>
      <c r="N49" s="35">
        <v>180</v>
      </c>
      <c r="O49" s="35">
        <v>185</v>
      </c>
      <c r="P49" s="4"/>
    </row>
    <row r="50" spans="1:16" ht="18" customHeight="1">
      <c r="A50" s="17" t="s">
        <v>43</v>
      </c>
      <c r="B50" s="45">
        <v>210</v>
      </c>
      <c r="C50" s="45">
        <v>215</v>
      </c>
      <c r="D50" s="45">
        <v>220</v>
      </c>
      <c r="E50" s="45">
        <v>225</v>
      </c>
      <c r="F50" s="45">
        <v>230</v>
      </c>
      <c r="G50" s="45">
        <v>235</v>
      </c>
      <c r="H50" s="24"/>
      <c r="I50" s="31" t="s">
        <v>43</v>
      </c>
      <c r="J50" s="45">
        <v>240</v>
      </c>
      <c r="K50" s="45">
        <v>245</v>
      </c>
      <c r="L50" s="45">
        <v>250</v>
      </c>
      <c r="M50" s="45">
        <v>255</v>
      </c>
      <c r="N50" s="45">
        <v>260</v>
      </c>
      <c r="O50" s="45">
        <v>265</v>
      </c>
      <c r="P50" s="4"/>
    </row>
    <row r="51" spans="1:16" ht="18" customHeight="1" thickBot="1">
      <c r="A51" s="6" t="s">
        <v>44</v>
      </c>
      <c r="B51" s="35">
        <v>280</v>
      </c>
      <c r="C51" s="35">
        <v>285</v>
      </c>
      <c r="D51" s="35">
        <v>290</v>
      </c>
      <c r="E51" s="35">
        <v>295</v>
      </c>
      <c r="F51" s="35">
        <v>300</v>
      </c>
      <c r="G51" s="35">
        <v>305</v>
      </c>
      <c r="H51" s="24"/>
      <c r="I51" s="31" t="s">
        <v>44</v>
      </c>
      <c r="J51" s="35">
        <v>320</v>
      </c>
      <c r="K51" s="35">
        <v>325</v>
      </c>
      <c r="L51" s="35">
        <v>330</v>
      </c>
      <c r="M51" s="35">
        <v>335</v>
      </c>
      <c r="N51" s="35">
        <v>340</v>
      </c>
      <c r="O51" s="35">
        <v>345</v>
      </c>
      <c r="P51" s="4"/>
    </row>
    <row r="52" spans="1:16" ht="18" customHeight="1" thickBot="1">
      <c r="A52" s="17" t="s">
        <v>45</v>
      </c>
      <c r="B52" s="45">
        <v>350</v>
      </c>
      <c r="C52" s="45">
        <v>355</v>
      </c>
      <c r="D52" s="45">
        <v>360</v>
      </c>
      <c r="E52" s="45">
        <v>365</v>
      </c>
      <c r="F52" s="45">
        <v>370</v>
      </c>
      <c r="G52" s="45">
        <v>375</v>
      </c>
      <c r="H52" s="24"/>
      <c r="I52" s="31" t="s">
        <v>45</v>
      </c>
      <c r="J52" s="45">
        <v>400</v>
      </c>
      <c r="K52" s="45">
        <v>405</v>
      </c>
      <c r="L52" s="45">
        <v>410</v>
      </c>
      <c r="M52" s="45">
        <v>415</v>
      </c>
      <c r="N52" s="45">
        <v>420</v>
      </c>
      <c r="O52" s="45">
        <v>425</v>
      </c>
      <c r="P52" s="4"/>
    </row>
    <row r="53" spans="1:16" ht="18" customHeight="1">
      <c r="A53" s="6" t="s">
        <v>46</v>
      </c>
      <c r="B53" s="35">
        <v>420</v>
      </c>
      <c r="C53" s="35">
        <v>425</v>
      </c>
      <c r="D53" s="35">
        <v>430</v>
      </c>
      <c r="E53" s="35">
        <v>435</v>
      </c>
      <c r="F53" s="35">
        <v>440</v>
      </c>
      <c r="G53" s="35">
        <v>445</v>
      </c>
      <c r="H53" s="24"/>
      <c r="I53" s="31" t="s">
        <v>46</v>
      </c>
      <c r="J53" s="35">
        <v>480</v>
      </c>
      <c r="K53" s="35">
        <v>485</v>
      </c>
      <c r="L53" s="35">
        <v>490</v>
      </c>
      <c r="M53" s="35">
        <v>495</v>
      </c>
      <c r="N53" s="35">
        <v>500</v>
      </c>
      <c r="O53" s="35">
        <v>505</v>
      </c>
      <c r="P53" s="4"/>
    </row>
    <row r="54" spans="1:16" ht="18" customHeight="1">
      <c r="A54" s="32" t="s">
        <v>32</v>
      </c>
      <c r="B54" s="84" t="s">
        <v>3</v>
      </c>
      <c r="C54" s="83"/>
      <c r="D54" s="83"/>
      <c r="E54" s="83"/>
      <c r="F54" s="83"/>
      <c r="G54" s="83"/>
      <c r="H54" s="83"/>
      <c r="I54" s="33"/>
      <c r="J54" s="85" t="s">
        <v>4</v>
      </c>
      <c r="K54" s="83"/>
      <c r="L54" s="83"/>
      <c r="M54" s="83"/>
      <c r="N54" s="83"/>
      <c r="O54" s="83"/>
      <c r="P54" s="83"/>
    </row>
    <row r="55" spans="1:16" ht="18" customHeight="1">
      <c r="A55" s="2"/>
      <c r="B55" s="3"/>
      <c r="C55" s="3"/>
      <c r="D55" s="3"/>
      <c r="E55" s="3"/>
      <c r="F55" s="3"/>
      <c r="G55" s="3"/>
      <c r="H55" s="24"/>
      <c r="I55" s="31"/>
      <c r="J55" s="2"/>
      <c r="K55" s="3"/>
      <c r="L55" s="3"/>
      <c r="M55" s="3"/>
      <c r="N55" s="3"/>
      <c r="O55" s="3"/>
      <c r="P55" s="4"/>
    </row>
    <row r="56" spans="1:16" ht="30" customHeight="1">
      <c r="A56" s="34" t="s">
        <v>47</v>
      </c>
      <c r="B56" s="34" t="s">
        <v>34</v>
      </c>
      <c r="C56" s="34" t="s">
        <v>35</v>
      </c>
      <c r="D56" s="34" t="s">
        <v>36</v>
      </c>
      <c r="E56" s="34" t="s">
        <v>37</v>
      </c>
      <c r="F56" s="34" t="s">
        <v>38</v>
      </c>
      <c r="G56" s="34" t="s">
        <v>39</v>
      </c>
      <c r="H56" s="24"/>
      <c r="I56" s="53" t="s">
        <v>40</v>
      </c>
      <c r="J56" s="34" t="s">
        <v>34</v>
      </c>
      <c r="K56" s="34" t="s">
        <v>35</v>
      </c>
      <c r="L56" s="34" t="s">
        <v>36</v>
      </c>
      <c r="M56" s="34" t="s">
        <v>37</v>
      </c>
      <c r="N56" s="34" t="s">
        <v>38</v>
      </c>
      <c r="O56" s="34" t="s">
        <v>39</v>
      </c>
      <c r="P56" s="4"/>
    </row>
    <row r="57" spans="1:16" ht="18" customHeight="1">
      <c r="A57" s="6" t="s">
        <v>41</v>
      </c>
      <c r="B57" s="35">
        <v>70</v>
      </c>
      <c r="C57" s="35">
        <v>75</v>
      </c>
      <c r="D57" s="35">
        <v>80</v>
      </c>
      <c r="E57" s="35">
        <v>85</v>
      </c>
      <c r="F57" s="35">
        <v>90</v>
      </c>
      <c r="G57" s="35">
        <v>95</v>
      </c>
      <c r="H57" s="24"/>
      <c r="I57" s="31" t="s">
        <v>41</v>
      </c>
      <c r="J57" s="35">
        <v>80</v>
      </c>
      <c r="K57" s="35">
        <v>85</v>
      </c>
      <c r="L57" s="35">
        <v>90</v>
      </c>
      <c r="M57" s="35">
        <v>95</v>
      </c>
      <c r="N57" s="35">
        <v>100</v>
      </c>
      <c r="O57" s="35">
        <v>105</v>
      </c>
      <c r="P57" s="4"/>
    </row>
    <row r="58" spans="1:16" ht="18" customHeight="1">
      <c r="A58" s="17" t="s">
        <v>42</v>
      </c>
      <c r="B58" s="45">
        <v>140</v>
      </c>
      <c r="C58" s="45">
        <v>145</v>
      </c>
      <c r="D58" s="45">
        <v>150</v>
      </c>
      <c r="E58" s="45">
        <v>155</v>
      </c>
      <c r="F58" s="45">
        <v>160</v>
      </c>
      <c r="G58" s="45">
        <v>165</v>
      </c>
      <c r="H58" s="24"/>
      <c r="I58" s="31" t="s">
        <v>42</v>
      </c>
      <c r="J58" s="45">
        <v>160</v>
      </c>
      <c r="K58" s="45">
        <v>165</v>
      </c>
      <c r="L58" s="45">
        <v>170</v>
      </c>
      <c r="M58" s="45">
        <v>175</v>
      </c>
      <c r="N58" s="45">
        <v>180</v>
      </c>
      <c r="O58" s="45">
        <v>185</v>
      </c>
      <c r="P58" s="4"/>
    </row>
    <row r="59" spans="1:16" ht="18" customHeight="1">
      <c r="A59" s="6" t="s">
        <v>43</v>
      </c>
      <c r="B59" s="35">
        <v>210</v>
      </c>
      <c r="C59" s="35">
        <v>215</v>
      </c>
      <c r="D59" s="35">
        <v>220</v>
      </c>
      <c r="E59" s="35">
        <v>225</v>
      </c>
      <c r="F59" s="35">
        <v>230</v>
      </c>
      <c r="G59" s="35">
        <v>235</v>
      </c>
      <c r="H59" s="24"/>
      <c r="I59" s="31" t="s">
        <v>43</v>
      </c>
      <c r="J59" s="35">
        <v>240</v>
      </c>
      <c r="K59" s="35">
        <v>245</v>
      </c>
      <c r="L59" s="35">
        <v>250</v>
      </c>
      <c r="M59" s="35">
        <v>255</v>
      </c>
      <c r="N59" s="35">
        <v>260</v>
      </c>
      <c r="O59" s="35">
        <v>265</v>
      </c>
      <c r="P59" s="4"/>
    </row>
    <row r="60" spans="1:16" ht="18" customHeight="1">
      <c r="A60" s="17" t="s">
        <v>44</v>
      </c>
      <c r="B60" s="45">
        <v>280</v>
      </c>
      <c r="C60" s="45">
        <v>285</v>
      </c>
      <c r="D60" s="45">
        <v>290</v>
      </c>
      <c r="E60" s="45">
        <v>295</v>
      </c>
      <c r="F60" s="45">
        <v>300</v>
      </c>
      <c r="G60" s="45">
        <v>305</v>
      </c>
      <c r="H60" s="24"/>
      <c r="I60" s="31" t="s">
        <v>44</v>
      </c>
      <c r="J60" s="45">
        <v>320</v>
      </c>
      <c r="K60" s="45">
        <v>325</v>
      </c>
      <c r="L60" s="45">
        <v>330</v>
      </c>
      <c r="M60" s="45">
        <v>335</v>
      </c>
      <c r="N60" s="45">
        <v>340</v>
      </c>
      <c r="O60" s="45">
        <v>345</v>
      </c>
      <c r="P60" s="4"/>
    </row>
    <row r="61" spans="1:16" ht="18" customHeight="1">
      <c r="A61" s="6" t="s">
        <v>45</v>
      </c>
      <c r="B61" s="35">
        <v>350</v>
      </c>
      <c r="C61" s="35">
        <v>355</v>
      </c>
      <c r="D61" s="35">
        <v>360</v>
      </c>
      <c r="E61" s="35">
        <v>365</v>
      </c>
      <c r="F61" s="35">
        <v>370</v>
      </c>
      <c r="G61" s="35">
        <v>375</v>
      </c>
      <c r="H61" s="24"/>
      <c r="I61" s="31" t="s">
        <v>45</v>
      </c>
      <c r="J61" s="35">
        <v>400</v>
      </c>
      <c r="K61" s="35">
        <v>405</v>
      </c>
      <c r="L61" s="35">
        <v>410</v>
      </c>
      <c r="M61" s="35">
        <v>415</v>
      </c>
      <c r="N61" s="35">
        <v>420</v>
      </c>
      <c r="O61" s="35">
        <v>425</v>
      </c>
      <c r="P61" s="4"/>
    </row>
    <row r="62" spans="1:16" ht="18" customHeight="1" thickBot="1">
      <c r="A62" s="17" t="s">
        <v>46</v>
      </c>
      <c r="B62" s="45">
        <v>420</v>
      </c>
      <c r="C62" s="45">
        <v>425</v>
      </c>
      <c r="D62" s="45">
        <v>430</v>
      </c>
      <c r="E62" s="45">
        <v>435</v>
      </c>
      <c r="F62" s="45">
        <v>440</v>
      </c>
      <c r="G62" s="45">
        <v>445</v>
      </c>
      <c r="H62" s="24"/>
      <c r="I62" s="31" t="s">
        <v>46</v>
      </c>
      <c r="J62" s="45">
        <v>480</v>
      </c>
      <c r="K62" s="45">
        <v>485</v>
      </c>
      <c r="L62" s="45">
        <v>490</v>
      </c>
      <c r="M62" s="45">
        <v>495</v>
      </c>
      <c r="N62" s="45">
        <v>500</v>
      </c>
      <c r="O62" s="45">
        <v>505</v>
      </c>
      <c r="P62" s="4"/>
    </row>
    <row r="63" spans="1:16" ht="18" customHeight="1" thickBot="1">
      <c r="A63" s="54" t="s">
        <v>48</v>
      </c>
      <c r="B63" s="3"/>
      <c r="C63" s="3"/>
      <c r="D63" s="3"/>
      <c r="E63" s="3"/>
      <c r="F63" s="3"/>
      <c r="G63" s="3"/>
      <c r="H63" s="24"/>
      <c r="I63" s="31"/>
      <c r="J63" s="2"/>
      <c r="K63" s="3"/>
      <c r="L63" s="3"/>
      <c r="M63" s="3"/>
      <c r="N63" s="3"/>
      <c r="O63" s="3"/>
      <c r="P63" s="4"/>
    </row>
    <row r="64" spans="1:16" ht="18" customHeight="1">
      <c r="A64" s="2"/>
      <c r="B64" s="3"/>
      <c r="C64" s="3"/>
      <c r="D64" s="3"/>
      <c r="E64" s="3"/>
      <c r="F64" s="3"/>
      <c r="G64" s="3"/>
      <c r="H64" s="24"/>
      <c r="I64" s="31"/>
      <c r="J64" s="2"/>
      <c r="K64" s="3"/>
      <c r="L64" s="3"/>
      <c r="M64" s="3"/>
      <c r="N64" s="3"/>
      <c r="O64" s="3"/>
      <c r="P64" s="4"/>
    </row>
    <row r="65" spans="1:16" ht="18" customHeight="1">
      <c r="A65" s="32" t="s">
        <v>3</v>
      </c>
      <c r="B65" s="84" t="s">
        <v>3</v>
      </c>
      <c r="C65" s="83"/>
      <c r="D65" s="83"/>
      <c r="E65" s="83"/>
      <c r="F65" s="83"/>
      <c r="G65" s="83"/>
      <c r="H65" s="83"/>
      <c r="I65" s="33"/>
      <c r="J65" s="85" t="s">
        <v>4</v>
      </c>
      <c r="K65" s="83"/>
      <c r="L65" s="83"/>
      <c r="M65" s="83"/>
      <c r="N65" s="83"/>
      <c r="O65" s="83"/>
      <c r="P65" s="83"/>
    </row>
    <row r="66" spans="1:16" ht="18" customHeight="1">
      <c r="A66" s="34" t="s">
        <v>48</v>
      </c>
      <c r="B66" s="34" t="s">
        <v>6</v>
      </c>
      <c r="C66" s="34" t="s">
        <v>7</v>
      </c>
      <c r="D66" s="34" t="s">
        <v>8</v>
      </c>
      <c r="E66" s="34" t="s">
        <v>9</v>
      </c>
      <c r="F66" s="34" t="s">
        <v>10</v>
      </c>
      <c r="G66" s="34" t="s">
        <v>11</v>
      </c>
      <c r="H66" s="34" t="s">
        <v>12</v>
      </c>
      <c r="I66" s="31"/>
      <c r="J66" s="7"/>
      <c r="K66" s="4"/>
      <c r="L66" s="4"/>
      <c r="M66" s="4"/>
      <c r="N66" s="4"/>
      <c r="O66" s="4"/>
      <c r="P66" s="4"/>
    </row>
    <row r="67" spans="1:16" ht="18" customHeight="1">
      <c r="A67" s="6" t="s">
        <v>49</v>
      </c>
      <c r="B67" s="35">
        <v>74</v>
      </c>
      <c r="C67" s="36">
        <v>159.19999999999999</v>
      </c>
      <c r="D67" s="35">
        <v>233</v>
      </c>
      <c r="E67" s="36">
        <v>295.39999999999998</v>
      </c>
      <c r="F67" s="36">
        <v>354.2</v>
      </c>
      <c r="G67" s="36">
        <v>406.4</v>
      </c>
      <c r="H67" s="56">
        <v>440</v>
      </c>
      <c r="I67" s="58"/>
      <c r="J67" s="35">
        <v>74</v>
      </c>
      <c r="K67" s="36">
        <v>159.19999999999999</v>
      </c>
      <c r="L67" s="35">
        <v>233</v>
      </c>
      <c r="M67" s="36">
        <v>295.39999999999998</v>
      </c>
      <c r="N67" s="36">
        <v>354.2</v>
      </c>
      <c r="O67" s="36">
        <v>406.4</v>
      </c>
      <c r="P67" s="35">
        <v>440</v>
      </c>
    </row>
    <row r="68" spans="1:16" ht="30" customHeight="1">
      <c r="A68" s="17" t="s">
        <v>50</v>
      </c>
      <c r="B68" s="45">
        <v>51</v>
      </c>
      <c r="C68" s="49">
        <v>99.8</v>
      </c>
      <c r="D68" s="49">
        <v>146.6</v>
      </c>
      <c r="E68" s="49">
        <v>186.8</v>
      </c>
      <c r="F68" s="49">
        <v>226.4</v>
      </c>
      <c r="G68" s="49">
        <v>261.2</v>
      </c>
      <c r="H68" s="52">
        <v>277.39999999999998</v>
      </c>
      <c r="I68" s="31"/>
      <c r="J68" s="45">
        <v>51</v>
      </c>
      <c r="K68" s="49">
        <v>99.8</v>
      </c>
      <c r="L68" s="49">
        <v>146.6</v>
      </c>
      <c r="M68" s="49">
        <v>186.8</v>
      </c>
      <c r="N68" s="49">
        <v>226.4</v>
      </c>
      <c r="O68" s="49">
        <v>261.2</v>
      </c>
      <c r="P68" s="49">
        <v>277.39999999999998</v>
      </c>
    </row>
    <row r="69" spans="1:16" ht="18" customHeight="1" thickBot="1">
      <c r="A69" s="6" t="s">
        <v>51</v>
      </c>
      <c r="B69" s="36">
        <v>14.5</v>
      </c>
      <c r="C69" s="35">
        <v>22</v>
      </c>
      <c r="D69" s="35">
        <v>30</v>
      </c>
      <c r="E69" s="35">
        <v>38</v>
      </c>
      <c r="F69" s="36">
        <v>46.5</v>
      </c>
      <c r="G69" s="36">
        <v>54.5</v>
      </c>
      <c r="H69" s="56">
        <v>63</v>
      </c>
      <c r="I69" s="31"/>
      <c r="J69" s="36">
        <v>14.5</v>
      </c>
      <c r="K69" s="35">
        <v>22</v>
      </c>
      <c r="L69" s="35">
        <v>30</v>
      </c>
      <c r="M69" s="35">
        <v>38</v>
      </c>
      <c r="N69" s="36">
        <v>46.5</v>
      </c>
      <c r="O69" s="36">
        <v>54.5</v>
      </c>
      <c r="P69" s="35">
        <v>63</v>
      </c>
    </row>
    <row r="70" spans="1:16" ht="18" customHeight="1" thickBot="1">
      <c r="A70" s="17" t="s">
        <v>52</v>
      </c>
      <c r="B70" s="49">
        <v>5.5</v>
      </c>
      <c r="C70" s="8">
        <f>B68*2</f>
        <v>102</v>
      </c>
      <c r="D70" s="8">
        <f>B68*3</f>
        <v>153</v>
      </c>
      <c r="E70" s="8">
        <f>B68*4</f>
        <v>204</v>
      </c>
      <c r="F70" s="8">
        <f>B68*5</f>
        <v>255</v>
      </c>
      <c r="G70" s="8">
        <f>B68*6</f>
        <v>306</v>
      </c>
      <c r="H70" s="25">
        <f>B68*7</f>
        <v>357</v>
      </c>
      <c r="I70" s="31"/>
      <c r="J70" s="49">
        <v>5.5</v>
      </c>
      <c r="K70" s="8">
        <f>J68*2</f>
        <v>102</v>
      </c>
      <c r="L70" s="8">
        <f>J68*3</f>
        <v>153</v>
      </c>
      <c r="M70" s="8">
        <f>J68*4</f>
        <v>204</v>
      </c>
      <c r="N70" s="8">
        <f>J68*5</f>
        <v>255</v>
      </c>
      <c r="O70" s="8">
        <f>J68*6</f>
        <v>306</v>
      </c>
      <c r="P70" s="8">
        <f>J68*7</f>
        <v>357</v>
      </c>
    </row>
    <row r="71" spans="1:16" ht="18" customHeight="1" thickBot="1">
      <c r="A71" s="2"/>
      <c r="B71" s="9"/>
      <c r="C71" s="9"/>
      <c r="D71" s="9"/>
      <c r="E71" s="9"/>
      <c r="F71" s="9"/>
      <c r="G71" s="9"/>
      <c r="H71" s="25"/>
      <c r="I71" s="31"/>
      <c r="J71" s="10"/>
      <c r="K71" s="9"/>
      <c r="L71" s="9"/>
      <c r="M71" s="9"/>
      <c r="N71" s="9"/>
      <c r="O71" s="9"/>
      <c r="P71" s="9"/>
    </row>
    <row r="72" spans="1:16" ht="18" customHeight="1">
      <c r="A72" s="32" t="s">
        <v>3</v>
      </c>
      <c r="B72" s="84" t="s">
        <v>3</v>
      </c>
      <c r="C72" s="83"/>
      <c r="D72" s="83"/>
      <c r="E72" s="83"/>
      <c r="F72" s="83"/>
      <c r="G72" s="83"/>
      <c r="H72" s="83"/>
      <c r="I72" s="42"/>
      <c r="J72" s="87" t="s">
        <v>4</v>
      </c>
      <c r="K72" s="83"/>
      <c r="L72" s="83"/>
      <c r="M72" s="83"/>
      <c r="N72" s="83"/>
      <c r="O72" s="83"/>
      <c r="P72" s="83"/>
    </row>
    <row r="73" spans="1:16" ht="18" customHeight="1" thickBot="1">
      <c r="A73" s="34" t="s">
        <v>53</v>
      </c>
      <c r="B73" s="82" t="s">
        <v>3</v>
      </c>
      <c r="C73" s="83"/>
      <c r="D73" s="83"/>
      <c r="E73" s="83"/>
      <c r="F73" s="83"/>
      <c r="G73" s="83"/>
      <c r="H73" s="83"/>
      <c r="I73" s="53"/>
      <c r="J73" s="86" t="s">
        <v>4</v>
      </c>
      <c r="K73" s="83"/>
      <c r="L73" s="83"/>
      <c r="M73" s="83"/>
      <c r="N73" s="83"/>
      <c r="O73" s="83"/>
      <c r="P73" s="83"/>
    </row>
    <row r="74" spans="1:16" ht="18" customHeight="1">
      <c r="A74" s="5"/>
      <c r="B74" s="51">
        <v>22</v>
      </c>
      <c r="C74" s="51">
        <v>44</v>
      </c>
      <c r="D74" s="51">
        <v>66</v>
      </c>
      <c r="E74" s="51">
        <v>86</v>
      </c>
      <c r="F74" s="51">
        <v>102</v>
      </c>
      <c r="G74" s="51">
        <v>118</v>
      </c>
      <c r="H74" s="46">
        <v>125</v>
      </c>
      <c r="I74" s="31"/>
      <c r="J74" s="51">
        <v>22</v>
      </c>
      <c r="K74" s="51">
        <v>44</v>
      </c>
      <c r="L74" s="51">
        <v>66</v>
      </c>
      <c r="M74" s="51">
        <v>86</v>
      </c>
      <c r="N74" s="51">
        <v>102</v>
      </c>
      <c r="O74" s="51">
        <v>118</v>
      </c>
      <c r="P74" s="51">
        <v>125</v>
      </c>
    </row>
    <row r="75" spans="1:16" ht="18" customHeight="1">
      <c r="A75" s="2"/>
      <c r="B75" s="3"/>
      <c r="C75" s="3"/>
      <c r="D75" s="3"/>
      <c r="E75" s="3"/>
      <c r="F75" s="3"/>
      <c r="G75" s="3"/>
      <c r="H75" s="24"/>
      <c r="I75" s="31"/>
      <c r="J75" s="2"/>
      <c r="K75" s="3"/>
      <c r="L75" s="3"/>
      <c r="M75" s="3"/>
      <c r="N75" s="3"/>
      <c r="O75" s="3"/>
      <c r="P75" s="4"/>
    </row>
    <row r="76" spans="1:16" ht="42" customHeight="1">
      <c r="A76" s="11"/>
      <c r="B76" s="1" t="s">
        <v>54</v>
      </c>
      <c r="C76" s="12"/>
      <c r="D76" s="12"/>
      <c r="E76" s="12"/>
      <c r="F76" s="12"/>
      <c r="G76" s="12"/>
      <c r="H76" s="24"/>
      <c r="I76" s="31"/>
      <c r="J76" s="2"/>
      <c r="K76" s="3"/>
      <c r="L76" s="3"/>
      <c r="M76" s="3"/>
      <c r="N76" s="3"/>
      <c r="O76" s="3"/>
      <c r="P76" s="4"/>
    </row>
    <row r="77" spans="1:16" ht="42" customHeight="1">
      <c r="A77" s="59" t="s">
        <v>55</v>
      </c>
      <c r="B77" s="13" t="s">
        <v>56</v>
      </c>
      <c r="C77" s="14"/>
      <c r="D77" s="14"/>
      <c r="E77" s="14"/>
      <c r="F77" s="14"/>
      <c r="G77" s="14"/>
      <c r="H77" s="26"/>
      <c r="I77" s="31"/>
      <c r="J77" s="2"/>
      <c r="K77" s="3"/>
      <c r="L77" s="3"/>
      <c r="M77" s="3"/>
      <c r="N77" s="3"/>
      <c r="O77" s="3"/>
      <c r="P77" s="4"/>
    </row>
    <row r="78" spans="1:16" ht="42" customHeight="1" thickBot="1">
      <c r="A78" s="59" t="s">
        <v>57</v>
      </c>
      <c r="B78" s="15" t="s">
        <v>56</v>
      </c>
      <c r="C78" s="14"/>
      <c r="D78" s="14"/>
      <c r="E78" s="14"/>
      <c r="F78" s="14"/>
      <c r="G78" s="14"/>
      <c r="H78" s="26"/>
      <c r="I78" s="31"/>
      <c r="J78" s="2"/>
      <c r="K78" s="3"/>
      <c r="L78" s="3"/>
      <c r="M78" s="3"/>
      <c r="N78" s="3"/>
      <c r="O78" s="3"/>
      <c r="P78" s="4"/>
    </row>
    <row r="79" spans="1:16" ht="42" customHeight="1">
      <c r="A79" s="59" t="s">
        <v>58</v>
      </c>
      <c r="B79" s="13" t="s">
        <v>56</v>
      </c>
      <c r="C79" s="14"/>
      <c r="D79" s="14"/>
      <c r="E79" s="14"/>
      <c r="F79" s="14"/>
      <c r="G79" s="14"/>
      <c r="H79" s="26"/>
      <c r="I79" s="31"/>
      <c r="J79" s="2"/>
      <c r="K79" s="3"/>
      <c r="L79" s="3"/>
      <c r="M79" s="3"/>
      <c r="N79" s="3"/>
      <c r="O79" s="3"/>
      <c r="P79" s="4"/>
    </row>
    <row r="80" spans="1:16" ht="42" customHeight="1">
      <c r="A80" s="59" t="s">
        <v>59</v>
      </c>
      <c r="B80" s="15" t="s">
        <v>60</v>
      </c>
      <c r="C80" s="16"/>
      <c r="D80" s="16"/>
      <c r="E80" s="16"/>
      <c r="F80" s="16"/>
      <c r="G80" s="16"/>
      <c r="H80" s="26"/>
      <c r="I80" s="31"/>
      <c r="J80" s="2"/>
      <c r="K80" s="3"/>
      <c r="L80" s="3"/>
      <c r="M80" s="3"/>
      <c r="N80" s="3"/>
      <c r="O80" s="3"/>
      <c r="P80" s="4"/>
    </row>
    <row r="81" spans="1:16" ht="18" customHeight="1">
      <c r="A81" s="2"/>
      <c r="B81" s="3"/>
      <c r="C81" s="3"/>
      <c r="D81" s="3"/>
      <c r="E81" s="3"/>
      <c r="F81" s="3"/>
      <c r="G81" s="3"/>
      <c r="H81" s="24"/>
      <c r="I81" s="31"/>
      <c r="J81" s="2"/>
      <c r="K81" s="3"/>
      <c r="L81" s="3"/>
      <c r="M81" s="3"/>
      <c r="N81" s="3"/>
      <c r="O81" s="3"/>
      <c r="P81" s="4"/>
    </row>
    <row r="82" spans="1:16" ht="30" customHeight="1">
      <c r="A82" s="60" t="s">
        <v>61</v>
      </c>
      <c r="B82" s="4"/>
      <c r="C82" s="4"/>
      <c r="D82" s="4"/>
      <c r="E82" s="4"/>
      <c r="F82" s="4"/>
      <c r="G82" s="4"/>
      <c r="H82" s="27"/>
      <c r="I82" s="61"/>
      <c r="J82" s="7"/>
      <c r="K82" s="4"/>
      <c r="L82" s="4"/>
      <c r="M82" s="4"/>
      <c r="N82" s="4"/>
      <c r="O82" s="4"/>
      <c r="P82" s="4"/>
    </row>
    <row r="83" spans="1:16" ht="18" customHeight="1">
      <c r="A83" s="6" t="s">
        <v>62</v>
      </c>
      <c r="B83" s="3"/>
      <c r="C83" s="4"/>
      <c r="D83" s="4"/>
      <c r="E83" s="3"/>
      <c r="F83" s="3"/>
      <c r="G83" s="4"/>
      <c r="H83" s="27"/>
      <c r="I83" s="31"/>
      <c r="J83" s="7"/>
      <c r="K83" s="4"/>
      <c r="L83" s="4"/>
      <c r="M83" s="4"/>
      <c r="N83" s="4"/>
      <c r="O83" s="4"/>
      <c r="P83" s="4"/>
    </row>
    <row r="84" spans="1:16" ht="18" customHeight="1">
      <c r="A84" s="2"/>
      <c r="B84" s="3"/>
      <c r="C84" s="1" t="s">
        <v>63</v>
      </c>
      <c r="D84" s="3"/>
      <c r="E84" s="3"/>
      <c r="F84" s="3"/>
      <c r="G84" s="4"/>
      <c r="H84" s="27"/>
      <c r="I84" s="31"/>
      <c r="J84" s="7"/>
      <c r="K84" s="4"/>
      <c r="L84" s="4"/>
      <c r="M84" s="4"/>
      <c r="N84" s="4"/>
      <c r="O84" s="4"/>
      <c r="P84" s="4"/>
    </row>
    <row r="85" spans="1:16" ht="42" customHeight="1">
      <c r="A85" s="6" t="s">
        <v>64</v>
      </c>
      <c r="B85" s="3"/>
      <c r="C85" s="3"/>
      <c r="D85" s="3"/>
      <c r="E85" s="3"/>
      <c r="F85" s="3"/>
      <c r="G85" s="4"/>
      <c r="H85" s="27"/>
      <c r="I85" s="31"/>
      <c r="J85" s="7"/>
      <c r="K85" s="4"/>
      <c r="L85" s="4"/>
      <c r="M85" s="4"/>
      <c r="N85" s="4"/>
      <c r="O85" s="4"/>
      <c r="P85" s="4"/>
    </row>
    <row r="86" spans="1:16" ht="42" customHeight="1">
      <c r="A86" s="17" t="s">
        <v>65</v>
      </c>
      <c r="B86" s="3"/>
      <c r="C86" s="17" t="s">
        <v>66</v>
      </c>
      <c r="D86" s="17" t="s">
        <v>67</v>
      </c>
      <c r="E86" s="3"/>
      <c r="F86" s="3"/>
      <c r="G86" s="4"/>
      <c r="H86" s="27"/>
      <c r="I86" s="31"/>
      <c r="J86" s="7"/>
      <c r="K86" s="4"/>
      <c r="L86" s="4"/>
      <c r="M86" s="4"/>
      <c r="N86" s="4"/>
      <c r="O86" s="4"/>
      <c r="P86" s="4"/>
    </row>
    <row r="87" spans="1:16" ht="42" customHeight="1">
      <c r="A87" s="6" t="s">
        <v>68</v>
      </c>
      <c r="B87" s="3"/>
      <c r="C87" s="6" t="s">
        <v>69</v>
      </c>
      <c r="D87" s="6" t="s">
        <v>70</v>
      </c>
      <c r="E87" s="3"/>
      <c r="F87" s="3"/>
      <c r="G87" s="4"/>
      <c r="H87" s="27"/>
      <c r="I87" s="31"/>
      <c r="J87" s="7"/>
      <c r="K87" s="4"/>
      <c r="L87" s="4"/>
      <c r="M87" s="4"/>
      <c r="N87" s="4"/>
      <c r="O87" s="4"/>
      <c r="P87" s="4"/>
    </row>
    <row r="88" spans="1:16" ht="42" customHeight="1">
      <c r="A88" s="17" t="s">
        <v>71</v>
      </c>
      <c r="B88" s="3"/>
      <c r="C88" s="17" t="s">
        <v>72</v>
      </c>
      <c r="D88" s="17" t="s">
        <v>73</v>
      </c>
      <c r="E88" s="3"/>
      <c r="F88" s="3"/>
      <c r="G88" s="4"/>
      <c r="H88" s="27"/>
      <c r="I88" s="31"/>
      <c r="J88" s="7"/>
      <c r="K88" s="4"/>
      <c r="L88" s="4"/>
      <c r="M88" s="4"/>
      <c r="N88" s="4"/>
      <c r="O88" s="4"/>
      <c r="P88" s="4"/>
    </row>
    <row r="89" spans="1:16" ht="18" customHeight="1">
      <c r="A89" s="2"/>
      <c r="B89" s="3"/>
      <c r="C89" s="1" t="s">
        <v>74</v>
      </c>
      <c r="D89" s="1" t="s">
        <v>75</v>
      </c>
      <c r="E89" s="3"/>
      <c r="F89" s="3"/>
      <c r="G89" s="4"/>
      <c r="H89" s="27"/>
      <c r="I89" s="31"/>
      <c r="J89" s="7"/>
      <c r="K89" s="4"/>
      <c r="L89" s="4"/>
      <c r="M89" s="4"/>
      <c r="N89" s="4"/>
      <c r="O89" s="4"/>
      <c r="P89" s="4"/>
    </row>
    <row r="90" spans="1:16" ht="18" customHeight="1">
      <c r="A90" s="2"/>
      <c r="B90" s="3"/>
      <c r="C90" s="3"/>
      <c r="D90" s="3"/>
      <c r="E90" s="3"/>
      <c r="F90" s="3"/>
      <c r="G90" s="3"/>
      <c r="H90" s="24"/>
      <c r="I90" s="31"/>
      <c r="J90" s="7"/>
      <c r="K90" s="4"/>
      <c r="L90" s="4"/>
      <c r="M90" s="4"/>
      <c r="N90" s="4"/>
      <c r="O90" s="4"/>
      <c r="P90" s="4"/>
    </row>
    <row r="91" spans="1:16" ht="18" customHeight="1">
      <c r="A91" s="6" t="s">
        <v>76</v>
      </c>
      <c r="B91" s="3"/>
      <c r="C91" s="3"/>
      <c r="D91" s="3"/>
      <c r="E91" s="3"/>
      <c r="F91" s="3"/>
      <c r="G91" s="3"/>
      <c r="H91" s="24"/>
      <c r="I91" s="31"/>
      <c r="J91" s="7"/>
      <c r="K91" s="4"/>
      <c r="L91" s="4"/>
      <c r="M91" s="4"/>
      <c r="N91" s="4"/>
      <c r="O91" s="4"/>
      <c r="P91" s="4"/>
    </row>
    <row r="92" spans="1:16" ht="18" customHeight="1">
      <c r="A92" s="2"/>
      <c r="B92" s="3"/>
      <c r="C92" s="3"/>
      <c r="D92" s="3"/>
      <c r="E92" s="3"/>
      <c r="F92" s="3"/>
      <c r="G92" s="3"/>
      <c r="H92" s="24"/>
      <c r="I92" s="31"/>
      <c r="J92" s="7"/>
      <c r="K92" s="4"/>
      <c r="L92" s="4"/>
      <c r="M92" s="4"/>
      <c r="N92" s="4"/>
      <c r="O92" s="4"/>
      <c r="P92" s="4"/>
    </row>
    <row r="93" spans="1:16" ht="42" customHeight="1">
      <c r="A93" s="6" t="s">
        <v>77</v>
      </c>
      <c r="B93" s="3"/>
      <c r="C93" s="3"/>
      <c r="D93" s="3"/>
      <c r="E93" s="3"/>
      <c r="F93" s="3"/>
      <c r="G93" s="3"/>
      <c r="H93" s="24"/>
      <c r="I93" s="31"/>
      <c r="J93" s="7"/>
      <c r="K93" s="4"/>
      <c r="L93" s="4"/>
      <c r="M93" s="4"/>
      <c r="N93" s="4"/>
      <c r="O93" s="4"/>
      <c r="P93" s="4"/>
    </row>
    <row r="94" spans="1:16" ht="42" customHeight="1">
      <c r="A94" s="17" t="s">
        <v>78</v>
      </c>
      <c r="B94" s="3"/>
      <c r="C94" s="3"/>
      <c r="D94" s="3"/>
      <c r="E94" s="3"/>
      <c r="F94" s="3"/>
      <c r="G94" s="3"/>
      <c r="H94" s="24"/>
      <c r="I94" s="31"/>
      <c r="J94" s="7"/>
      <c r="K94" s="4"/>
      <c r="L94" s="4"/>
      <c r="M94" s="4"/>
      <c r="N94" s="4"/>
      <c r="O94" s="4"/>
      <c r="P94" s="4"/>
    </row>
    <row r="95" spans="1:16" ht="42" customHeight="1">
      <c r="A95" s="6" t="s">
        <v>79</v>
      </c>
      <c r="B95" s="3"/>
      <c r="C95" s="3"/>
      <c r="D95" s="3"/>
      <c r="E95" s="3"/>
      <c r="F95" s="3"/>
      <c r="G95" s="3"/>
      <c r="H95" s="24"/>
      <c r="I95" s="31"/>
      <c r="J95" s="7"/>
      <c r="K95" s="4"/>
      <c r="L95" s="4"/>
      <c r="M95" s="4"/>
      <c r="N95" s="4"/>
      <c r="O95" s="4"/>
      <c r="P95" s="4"/>
    </row>
    <row r="96" spans="1:16" ht="42" customHeight="1">
      <c r="A96" s="17" t="s">
        <v>80</v>
      </c>
      <c r="B96" s="3"/>
      <c r="C96" s="3"/>
      <c r="D96" s="3"/>
      <c r="E96" s="3"/>
      <c r="F96" s="3"/>
      <c r="G96" s="3"/>
      <c r="H96" s="24"/>
      <c r="I96" s="31"/>
      <c r="J96" s="7"/>
      <c r="K96" s="4"/>
      <c r="L96" s="4"/>
      <c r="M96" s="4"/>
      <c r="N96" s="4"/>
      <c r="O96" s="4"/>
      <c r="P96" s="4"/>
    </row>
    <row r="97" spans="1:16" ht="18" customHeight="1">
      <c r="A97" s="7"/>
      <c r="B97" s="4"/>
      <c r="C97" s="4"/>
      <c r="D97" s="4"/>
      <c r="E97" s="4"/>
      <c r="F97" s="4"/>
      <c r="G97" s="4"/>
      <c r="H97" s="27"/>
      <c r="I97" s="61"/>
      <c r="J97" s="7"/>
      <c r="K97" s="4"/>
      <c r="L97" s="4"/>
      <c r="M97" s="4"/>
      <c r="N97" s="4"/>
      <c r="O97" s="4"/>
      <c r="P97" s="4"/>
    </row>
    <row r="98" spans="1:16" ht="42" customHeight="1">
      <c r="A98" s="62" t="s">
        <v>81</v>
      </c>
      <c r="B98" s="3"/>
      <c r="C98" s="17" t="s">
        <v>2</v>
      </c>
      <c r="D98" s="3"/>
      <c r="E98" s="3"/>
      <c r="F98" s="3"/>
      <c r="G98" s="3"/>
      <c r="H98" s="24"/>
      <c r="I98" s="31"/>
      <c r="J98" s="7"/>
      <c r="K98" s="4"/>
      <c r="L98" s="4"/>
      <c r="M98" s="4"/>
      <c r="N98" s="4"/>
      <c r="O98" s="4"/>
      <c r="P98" s="4"/>
    </row>
    <row r="99" spans="1:16" ht="18" customHeight="1">
      <c r="A99" s="2"/>
      <c r="B99" s="3"/>
      <c r="C99" s="3"/>
      <c r="D99" s="3"/>
      <c r="E99" s="3"/>
      <c r="F99" s="4"/>
      <c r="G99" s="3"/>
      <c r="H99" s="24"/>
      <c r="I99" s="31"/>
      <c r="J99" s="7"/>
      <c r="K99" s="4"/>
      <c r="L99" s="4"/>
      <c r="M99" s="4"/>
      <c r="N99" s="4"/>
      <c r="O99" s="4"/>
      <c r="P99" s="4"/>
    </row>
    <row r="100" spans="1:16" ht="18" customHeight="1">
      <c r="A100" s="63" t="s">
        <v>82</v>
      </c>
      <c r="B100" s="3"/>
      <c r="C100" s="3"/>
      <c r="D100" s="3"/>
      <c r="E100" s="3"/>
      <c r="F100" s="4"/>
      <c r="G100" s="3"/>
      <c r="H100" s="24"/>
      <c r="I100" s="31"/>
      <c r="J100" s="7"/>
      <c r="K100" s="4"/>
      <c r="L100" s="4"/>
      <c r="M100" s="4"/>
      <c r="N100" s="4"/>
      <c r="O100" s="4"/>
      <c r="P100" s="4"/>
    </row>
    <row r="101" spans="1:16" ht="18" customHeight="1">
      <c r="A101" s="2"/>
      <c r="B101" s="3"/>
      <c r="C101" s="3"/>
      <c r="D101" s="3"/>
      <c r="E101" s="3"/>
      <c r="F101" s="4"/>
      <c r="G101" s="3"/>
      <c r="H101" s="24"/>
      <c r="I101" s="31"/>
      <c r="J101" s="7"/>
      <c r="K101" s="4"/>
      <c r="L101" s="4"/>
      <c r="M101" s="4"/>
      <c r="N101" s="4"/>
      <c r="O101" s="4"/>
      <c r="P101" s="4"/>
    </row>
    <row r="102" spans="1:16" ht="18" customHeight="1">
      <c r="A102" s="17" t="s">
        <v>83</v>
      </c>
      <c r="B102" s="18"/>
      <c r="C102" s="45">
        <v>190</v>
      </c>
      <c r="D102" s="3"/>
      <c r="E102" s="3"/>
      <c r="F102" s="4"/>
      <c r="G102" s="3"/>
      <c r="H102" s="24"/>
      <c r="I102" s="31"/>
      <c r="J102" s="7"/>
      <c r="K102" s="4"/>
      <c r="L102" s="4"/>
      <c r="M102" s="4"/>
      <c r="N102" s="4"/>
      <c r="O102" s="4"/>
      <c r="P102" s="4"/>
    </row>
    <row r="103" spans="1:16" ht="18" customHeight="1">
      <c r="A103" s="6" t="s">
        <v>84</v>
      </c>
      <c r="B103" s="18"/>
      <c r="C103" s="35">
        <v>250</v>
      </c>
      <c r="D103" s="3"/>
      <c r="E103" s="3"/>
      <c r="F103" s="4"/>
      <c r="G103" s="3"/>
      <c r="H103" s="24"/>
      <c r="I103" s="31"/>
      <c r="J103" s="7"/>
      <c r="K103" s="4"/>
      <c r="L103" s="4"/>
      <c r="M103" s="4"/>
      <c r="N103" s="4"/>
      <c r="O103" s="4"/>
      <c r="P103" s="4"/>
    </row>
    <row r="104" spans="1:16" ht="18" customHeight="1">
      <c r="A104" s="2"/>
      <c r="B104" s="3"/>
      <c r="C104" s="3"/>
      <c r="D104" s="3"/>
      <c r="E104" s="3"/>
      <c r="F104" s="4"/>
      <c r="G104" s="3"/>
      <c r="H104" s="24"/>
      <c r="I104" s="31"/>
      <c r="J104" s="7"/>
      <c r="K104" s="4"/>
      <c r="L104" s="4"/>
      <c r="M104" s="4"/>
      <c r="N104" s="4"/>
      <c r="O104" s="4"/>
      <c r="P104" s="4"/>
    </row>
    <row r="105" spans="1:16" ht="18" customHeight="1">
      <c r="A105" s="64" t="s">
        <v>85</v>
      </c>
      <c r="B105" s="3"/>
      <c r="C105" s="3"/>
      <c r="D105" s="3"/>
      <c r="E105" s="3"/>
      <c r="F105" s="4"/>
      <c r="G105" s="3"/>
      <c r="H105" s="24"/>
      <c r="I105" s="31"/>
      <c r="J105" s="7"/>
      <c r="K105" s="4"/>
      <c r="L105" s="4"/>
      <c r="M105" s="4"/>
      <c r="N105" s="4"/>
      <c r="O105" s="4"/>
      <c r="P105" s="4"/>
    </row>
    <row r="106" spans="1:16" ht="18" customHeight="1">
      <c r="A106" s="2"/>
      <c r="B106" s="3"/>
      <c r="C106" s="3"/>
      <c r="D106" s="3"/>
      <c r="E106" s="3"/>
      <c r="F106" s="4"/>
      <c r="G106" s="3"/>
      <c r="H106" s="24"/>
      <c r="I106" s="31"/>
      <c r="J106" s="7"/>
      <c r="K106" s="4"/>
      <c r="L106" s="4"/>
      <c r="M106" s="4"/>
      <c r="N106" s="4"/>
      <c r="O106" s="4"/>
      <c r="P106" s="4"/>
    </row>
    <row r="107" spans="1:16" ht="18" customHeight="1">
      <c r="A107" s="6" t="s">
        <v>83</v>
      </c>
      <c r="B107" s="18"/>
      <c r="C107" s="35">
        <v>220</v>
      </c>
      <c r="D107" s="3"/>
      <c r="E107" s="3"/>
      <c r="F107" s="4"/>
      <c r="G107" s="3"/>
      <c r="H107" s="24"/>
      <c r="I107" s="31"/>
      <c r="J107" s="7"/>
      <c r="K107" s="4"/>
      <c r="L107" s="4"/>
      <c r="M107" s="4"/>
      <c r="N107" s="4"/>
      <c r="O107" s="4"/>
      <c r="P107" s="4"/>
    </row>
    <row r="108" spans="1:16" ht="18" customHeight="1">
      <c r="A108" s="17" t="s">
        <v>84</v>
      </c>
      <c r="B108" s="18"/>
      <c r="C108" s="45">
        <v>260</v>
      </c>
      <c r="D108" s="3"/>
      <c r="E108" s="3"/>
      <c r="F108" s="4"/>
      <c r="G108" s="3"/>
      <c r="H108" s="24"/>
      <c r="I108" s="31"/>
      <c r="J108" s="7"/>
      <c r="K108" s="4"/>
      <c r="L108" s="4"/>
      <c r="M108" s="4"/>
      <c r="N108" s="4"/>
      <c r="O108" s="4"/>
      <c r="P108" s="4"/>
    </row>
    <row r="109" spans="1:16" ht="18" customHeight="1">
      <c r="A109" s="2"/>
      <c r="B109" s="3"/>
      <c r="C109" s="3"/>
      <c r="D109" s="3"/>
      <c r="E109" s="3"/>
      <c r="F109" s="4"/>
      <c r="G109" s="3"/>
      <c r="H109" s="24"/>
      <c r="I109" s="31"/>
      <c r="J109" s="7"/>
      <c r="K109" s="4"/>
      <c r="L109" s="4"/>
      <c r="M109" s="4"/>
      <c r="N109" s="4"/>
      <c r="O109" s="4"/>
      <c r="P109" s="4"/>
    </row>
    <row r="110" spans="1:16" ht="18" customHeight="1">
      <c r="A110" s="63" t="s">
        <v>86</v>
      </c>
      <c r="B110" s="3"/>
      <c r="C110" s="3"/>
      <c r="D110" s="3"/>
      <c r="E110" s="3"/>
      <c r="F110" s="4"/>
      <c r="G110" s="3"/>
      <c r="H110" s="24"/>
      <c r="I110" s="31"/>
      <c r="J110" s="7"/>
      <c r="K110" s="4"/>
      <c r="L110" s="4"/>
      <c r="M110" s="4"/>
      <c r="N110" s="4"/>
      <c r="O110" s="4"/>
      <c r="P110" s="4"/>
    </row>
    <row r="111" spans="1:16" ht="18" customHeight="1">
      <c r="A111" s="2"/>
      <c r="B111" s="3"/>
      <c r="C111" s="3"/>
      <c r="D111" s="3"/>
      <c r="E111" s="3"/>
      <c r="F111" s="4"/>
      <c r="G111" s="3"/>
      <c r="H111" s="24"/>
      <c r="I111" s="31"/>
      <c r="J111" s="7"/>
      <c r="K111" s="4"/>
      <c r="L111" s="4"/>
      <c r="M111" s="4"/>
      <c r="N111" s="4"/>
      <c r="O111" s="4"/>
      <c r="P111" s="4"/>
    </row>
    <row r="112" spans="1:16" ht="18" customHeight="1">
      <c r="A112" s="17" t="s">
        <v>83</v>
      </c>
      <c r="B112" s="18"/>
      <c r="C112" s="45">
        <v>130</v>
      </c>
      <c r="D112" s="3"/>
      <c r="E112" s="3"/>
      <c r="F112" s="4"/>
      <c r="G112" s="3"/>
      <c r="H112" s="24"/>
      <c r="I112" s="31"/>
      <c r="J112" s="7"/>
      <c r="K112" s="4"/>
      <c r="L112" s="4"/>
      <c r="M112" s="4"/>
      <c r="N112" s="4"/>
      <c r="O112" s="4"/>
      <c r="P112" s="4"/>
    </row>
    <row r="113" spans="1:16" ht="18" customHeight="1">
      <c r="A113" s="6" t="s">
        <v>84</v>
      </c>
      <c r="B113" s="18"/>
      <c r="C113" s="35">
        <v>180</v>
      </c>
      <c r="D113" s="3"/>
      <c r="E113" s="3"/>
      <c r="F113" s="4"/>
      <c r="G113" s="3"/>
      <c r="H113" s="24"/>
      <c r="I113" s="31"/>
      <c r="J113" s="7"/>
      <c r="K113" s="4"/>
      <c r="L113" s="4"/>
      <c r="M113" s="4"/>
      <c r="N113" s="4"/>
      <c r="O113" s="4"/>
      <c r="P113" s="4"/>
    </row>
    <row r="114" spans="1:16" ht="18" customHeight="1">
      <c r="A114" s="7"/>
      <c r="B114" s="4"/>
      <c r="C114" s="4"/>
      <c r="D114" s="4"/>
      <c r="E114" s="4"/>
      <c r="F114" s="4"/>
      <c r="G114" s="3"/>
      <c r="H114" s="24"/>
      <c r="I114" s="31"/>
      <c r="J114" s="7"/>
      <c r="K114" s="4"/>
      <c r="L114" s="4"/>
      <c r="M114" s="4"/>
      <c r="N114" s="4"/>
      <c r="O114" s="4"/>
      <c r="P114" s="4"/>
    </row>
    <row r="115" spans="1:16" ht="18" customHeight="1">
      <c r="A115" s="7"/>
      <c r="B115" s="4"/>
      <c r="C115" s="4"/>
      <c r="D115" s="4"/>
      <c r="E115" s="4"/>
      <c r="F115" s="4"/>
      <c r="G115" s="3"/>
      <c r="H115" s="24"/>
      <c r="I115" s="31"/>
      <c r="J115" s="7"/>
      <c r="K115" s="4"/>
      <c r="L115" s="4"/>
      <c r="M115" s="4"/>
      <c r="N115" s="4"/>
      <c r="O115" s="4"/>
      <c r="P115" s="4"/>
    </row>
    <row r="116" spans="1:16" ht="18" customHeight="1">
      <c r="A116" s="2"/>
      <c r="B116" s="3"/>
      <c r="C116" s="3"/>
      <c r="D116" s="3"/>
      <c r="E116" s="3"/>
      <c r="F116" s="3"/>
      <c r="G116" s="3"/>
      <c r="H116" s="24"/>
      <c r="I116" s="31"/>
      <c r="J116" s="7"/>
      <c r="K116" s="4"/>
      <c r="L116" s="4"/>
      <c r="M116" s="4"/>
      <c r="N116" s="4"/>
      <c r="O116" s="4"/>
      <c r="P116" s="4"/>
    </row>
    <row r="117" spans="1:16" ht="18" customHeight="1">
      <c r="A117" s="2"/>
      <c r="B117" s="3"/>
      <c r="C117" s="3"/>
      <c r="D117" s="3"/>
      <c r="E117" s="3"/>
      <c r="F117" s="3"/>
      <c r="G117" s="3"/>
      <c r="H117" s="24"/>
      <c r="I117" s="31"/>
      <c r="J117" s="7"/>
      <c r="K117" s="4"/>
      <c r="L117" s="4"/>
      <c r="M117" s="4"/>
      <c r="N117" s="4"/>
      <c r="O117" s="4"/>
      <c r="P117" s="4"/>
    </row>
    <row r="118" spans="1:16" ht="42" customHeight="1">
      <c r="A118" s="62" t="s">
        <v>87</v>
      </c>
      <c r="B118" s="3"/>
      <c r="C118" s="17" t="s">
        <v>88</v>
      </c>
      <c r="D118" s="3"/>
      <c r="E118" s="3"/>
      <c r="F118" s="3"/>
      <c r="G118" s="3"/>
      <c r="H118" s="24"/>
      <c r="I118" s="31"/>
      <c r="J118" s="7"/>
      <c r="K118" s="4"/>
      <c r="L118" s="4"/>
      <c r="M118" s="4"/>
      <c r="N118" s="4"/>
      <c r="O118" s="4"/>
      <c r="P118" s="4"/>
    </row>
    <row r="119" spans="1:16" ht="18" customHeight="1">
      <c r="A119" s="2"/>
      <c r="B119" s="3"/>
      <c r="C119" s="3"/>
      <c r="D119" s="3"/>
      <c r="E119" s="3"/>
      <c r="F119" s="3"/>
      <c r="G119" s="3"/>
      <c r="H119" s="24"/>
      <c r="I119" s="31"/>
      <c r="J119" s="7"/>
      <c r="K119" s="4"/>
      <c r="L119" s="4"/>
      <c r="M119" s="4"/>
      <c r="N119" s="4"/>
      <c r="O119" s="4"/>
      <c r="P119" s="4"/>
    </row>
    <row r="120" spans="1:16" ht="18" customHeight="1">
      <c r="A120" s="17" t="s">
        <v>89</v>
      </c>
      <c r="B120" s="3"/>
      <c r="C120" s="3"/>
      <c r="D120" s="3"/>
      <c r="E120" s="3"/>
      <c r="F120" s="3"/>
      <c r="G120" s="3"/>
      <c r="H120" s="24"/>
      <c r="I120" s="31"/>
      <c r="J120" s="7"/>
      <c r="K120" s="4"/>
      <c r="L120" s="4"/>
      <c r="M120" s="4"/>
      <c r="N120" s="4"/>
      <c r="O120" s="4"/>
      <c r="P120" s="4"/>
    </row>
    <row r="121" spans="1:16" ht="18" customHeight="1">
      <c r="A121" s="2"/>
      <c r="B121" s="102"/>
      <c r="C121" s="34" t="s">
        <v>6</v>
      </c>
      <c r="D121" s="34" t="s">
        <v>7</v>
      </c>
      <c r="E121" s="34" t="s">
        <v>90</v>
      </c>
      <c r="F121" s="34" t="s">
        <v>9</v>
      </c>
      <c r="G121" s="34" t="s">
        <v>10</v>
      </c>
      <c r="H121" s="24"/>
      <c r="I121" s="31"/>
      <c r="J121" s="7"/>
      <c r="K121" s="4"/>
      <c r="L121" s="4"/>
      <c r="M121" s="4"/>
      <c r="N121" s="4"/>
      <c r="O121" s="4"/>
      <c r="P121" s="4"/>
    </row>
    <row r="122" spans="1:16" ht="42" customHeight="1">
      <c r="A122" s="103" t="s">
        <v>91</v>
      </c>
      <c r="B122" s="102"/>
      <c r="C122" s="108">
        <v>65</v>
      </c>
      <c r="D122" s="45">
        <v>130</v>
      </c>
      <c r="E122" s="45">
        <v>195</v>
      </c>
      <c r="F122" s="45">
        <v>260</v>
      </c>
      <c r="G122" s="45">
        <v>325</v>
      </c>
      <c r="H122" s="24"/>
      <c r="I122" s="31"/>
      <c r="J122" s="7"/>
      <c r="K122" s="4"/>
      <c r="L122" s="4"/>
      <c r="M122" s="4"/>
      <c r="N122" s="4"/>
      <c r="O122" s="4"/>
      <c r="P122" s="4"/>
    </row>
    <row r="123" spans="1:16" ht="30" customHeight="1">
      <c r="A123" s="104" t="s">
        <v>92</v>
      </c>
      <c r="B123" s="102"/>
      <c r="C123" s="109">
        <v>50.5</v>
      </c>
      <c r="D123" s="35">
        <v>101</v>
      </c>
      <c r="E123" s="36">
        <v>151.5</v>
      </c>
      <c r="F123" s="35">
        <v>202</v>
      </c>
      <c r="G123" s="36">
        <v>252.5</v>
      </c>
      <c r="H123" s="24"/>
      <c r="I123" s="31"/>
      <c r="J123" s="7"/>
      <c r="K123" s="4"/>
      <c r="L123" s="4"/>
      <c r="M123" s="4"/>
      <c r="N123" s="4"/>
      <c r="O123" s="4"/>
      <c r="P123" s="4"/>
    </row>
    <row r="124" spans="1:16" ht="30" customHeight="1">
      <c r="A124" s="105" t="s">
        <v>93</v>
      </c>
      <c r="B124" s="102"/>
      <c r="C124" s="110">
        <v>44.5</v>
      </c>
      <c r="D124" s="45">
        <v>89</v>
      </c>
      <c r="E124" s="49">
        <v>133.5</v>
      </c>
      <c r="F124" s="45">
        <v>178</v>
      </c>
      <c r="G124" s="49">
        <v>222.5</v>
      </c>
      <c r="H124" s="24"/>
      <c r="I124" s="31"/>
      <c r="J124" s="7"/>
      <c r="K124" s="4"/>
      <c r="L124" s="4"/>
      <c r="M124" s="4"/>
      <c r="N124" s="4"/>
      <c r="O124" s="4"/>
      <c r="P124" s="4"/>
    </row>
    <row r="125" spans="1:16" ht="18" customHeight="1">
      <c r="A125" s="2"/>
      <c r="B125" s="102"/>
      <c r="C125" s="3"/>
      <c r="D125" s="3"/>
      <c r="E125" s="3"/>
      <c r="F125" s="3"/>
      <c r="G125" s="3"/>
      <c r="H125" s="24"/>
      <c r="I125" s="31"/>
      <c r="J125" s="7"/>
      <c r="K125" s="4"/>
      <c r="L125" s="4"/>
      <c r="M125" s="4"/>
      <c r="N125" s="4"/>
      <c r="O125" s="4"/>
      <c r="P125" s="4"/>
    </row>
    <row r="126" spans="1:16" ht="18" customHeight="1">
      <c r="A126" s="2"/>
      <c r="B126" s="102"/>
      <c r="C126" s="3"/>
      <c r="D126" s="3"/>
      <c r="E126" s="3"/>
      <c r="F126" s="3"/>
      <c r="G126" s="3"/>
      <c r="H126" s="24"/>
      <c r="I126" s="31"/>
      <c r="J126" s="7"/>
      <c r="K126" s="4"/>
      <c r="L126" s="4"/>
      <c r="M126" s="4"/>
      <c r="N126" s="4"/>
      <c r="O126" s="4"/>
      <c r="P126" s="4"/>
    </row>
    <row r="127" spans="1:16" ht="18" customHeight="1">
      <c r="A127" s="104" t="s">
        <v>94</v>
      </c>
      <c r="B127" s="102"/>
      <c r="C127" s="3"/>
      <c r="D127" s="3"/>
      <c r="E127" s="3"/>
      <c r="F127" s="3"/>
      <c r="G127" s="3"/>
      <c r="H127" s="24"/>
      <c r="I127" s="31"/>
      <c r="J127" s="7"/>
      <c r="K127" s="4"/>
      <c r="L127" s="4"/>
      <c r="M127" s="4"/>
      <c r="N127" s="4"/>
      <c r="O127" s="4"/>
      <c r="P127" s="4"/>
    </row>
    <row r="128" spans="1:16" ht="18" customHeight="1">
      <c r="A128" s="106"/>
      <c r="B128" s="102"/>
      <c r="C128" s="34" t="s">
        <v>6</v>
      </c>
      <c r="D128" s="34" t="s">
        <v>7</v>
      </c>
      <c r="E128" s="34" t="s">
        <v>90</v>
      </c>
      <c r="F128" s="34" t="s">
        <v>9</v>
      </c>
      <c r="G128" s="34" t="s">
        <v>10</v>
      </c>
      <c r="H128" s="24"/>
      <c r="I128" s="31"/>
      <c r="J128" s="7"/>
      <c r="K128" s="4"/>
      <c r="L128" s="4"/>
      <c r="M128" s="4"/>
      <c r="N128" s="4"/>
      <c r="O128" s="4"/>
      <c r="P128" s="4"/>
    </row>
    <row r="129" spans="1:16" ht="42" customHeight="1">
      <c r="A129" s="104" t="s">
        <v>95</v>
      </c>
      <c r="B129" s="102"/>
      <c r="C129" s="111">
        <v>73</v>
      </c>
      <c r="D129" s="35">
        <v>146</v>
      </c>
      <c r="E129" s="35">
        <v>219</v>
      </c>
      <c r="F129" s="35">
        <v>292</v>
      </c>
      <c r="G129" s="35">
        <v>365</v>
      </c>
      <c r="H129" s="24"/>
      <c r="I129" s="31"/>
      <c r="J129" s="7"/>
      <c r="K129" s="4"/>
      <c r="L129" s="4"/>
      <c r="M129" s="4"/>
      <c r="N129" s="4"/>
      <c r="O129" s="4"/>
      <c r="P129" s="4"/>
    </row>
    <row r="130" spans="1:16" ht="42" customHeight="1">
      <c r="A130" s="103" t="s">
        <v>96</v>
      </c>
      <c r="B130" s="102"/>
      <c r="C130" s="108">
        <v>57</v>
      </c>
      <c r="D130" s="45">
        <v>114</v>
      </c>
      <c r="E130" s="49">
        <v>151.5</v>
      </c>
      <c r="F130" s="49">
        <v>208.5</v>
      </c>
      <c r="G130" s="49">
        <v>265.5</v>
      </c>
      <c r="H130" s="24"/>
      <c r="I130" s="31"/>
      <c r="J130" s="7"/>
      <c r="K130" s="4"/>
      <c r="L130" s="4"/>
      <c r="M130" s="4"/>
      <c r="N130" s="4"/>
      <c r="O130" s="4"/>
      <c r="P130" s="4"/>
    </row>
    <row r="131" spans="1:16" ht="42" customHeight="1">
      <c r="A131" s="107" t="s">
        <v>97</v>
      </c>
      <c r="B131" s="102"/>
      <c r="C131" s="111">
        <v>51</v>
      </c>
      <c r="D131" s="35">
        <v>102</v>
      </c>
      <c r="E131" s="35">
        <v>153</v>
      </c>
      <c r="F131" s="35">
        <v>204</v>
      </c>
      <c r="G131" s="35">
        <v>255</v>
      </c>
      <c r="H131" s="24"/>
      <c r="I131" s="31"/>
      <c r="J131" s="7"/>
      <c r="K131" s="4"/>
      <c r="L131" s="4"/>
      <c r="M131" s="4"/>
      <c r="N131" s="4"/>
      <c r="O131" s="4"/>
      <c r="P131" s="4"/>
    </row>
    <row r="132" spans="1:16" ht="18" customHeight="1">
      <c r="A132" s="2"/>
      <c r="B132" s="102"/>
      <c r="C132" s="3"/>
      <c r="D132" s="3"/>
      <c r="E132" s="3"/>
      <c r="F132" s="3"/>
      <c r="G132" s="3"/>
      <c r="H132" s="24"/>
      <c r="I132" s="31"/>
      <c r="J132" s="7"/>
      <c r="K132" s="4"/>
      <c r="L132" s="4"/>
      <c r="M132" s="4"/>
      <c r="N132" s="4"/>
      <c r="O132" s="4"/>
      <c r="P132" s="4"/>
    </row>
    <row r="133" spans="1:16" ht="18" customHeight="1">
      <c r="A133" s="2"/>
      <c r="B133" s="102"/>
      <c r="C133" s="3"/>
      <c r="D133" s="3"/>
      <c r="E133" s="3"/>
      <c r="F133" s="3"/>
      <c r="G133" s="3"/>
      <c r="H133" s="24"/>
      <c r="I133" s="31"/>
      <c r="J133" s="7"/>
      <c r="K133" s="4"/>
      <c r="L133" s="4"/>
      <c r="M133" s="4"/>
      <c r="N133" s="4"/>
      <c r="O133" s="4"/>
      <c r="P133" s="4"/>
    </row>
    <row r="134" spans="1:16" ht="18" customHeight="1">
      <c r="A134" s="103" t="s">
        <v>98</v>
      </c>
      <c r="B134" s="102"/>
      <c r="C134" s="112"/>
      <c r="D134" s="18"/>
      <c r="E134" s="18"/>
      <c r="F134" s="18"/>
      <c r="G134" s="18"/>
      <c r="H134" s="24"/>
      <c r="I134" s="31"/>
      <c r="J134" s="7"/>
      <c r="K134" s="4"/>
      <c r="L134" s="4"/>
      <c r="M134" s="4"/>
      <c r="N134" s="4"/>
      <c r="O134" s="4"/>
      <c r="P134" s="4"/>
    </row>
    <row r="135" spans="1:16" ht="18" customHeight="1">
      <c r="A135" s="106"/>
      <c r="B135" s="102"/>
      <c r="C135" s="34" t="s">
        <v>6</v>
      </c>
      <c r="D135" s="34" t="s">
        <v>7</v>
      </c>
      <c r="E135" s="34" t="s">
        <v>90</v>
      </c>
      <c r="F135" s="34" t="s">
        <v>9</v>
      </c>
      <c r="G135" s="34" t="s">
        <v>10</v>
      </c>
      <c r="H135" s="24"/>
      <c r="I135" s="31"/>
      <c r="J135" s="7"/>
      <c r="K135" s="4"/>
      <c r="L135" s="4"/>
      <c r="M135" s="4"/>
      <c r="N135" s="4"/>
      <c r="O135" s="4"/>
      <c r="P135" s="4"/>
    </row>
    <row r="136" spans="1:16" ht="42" customHeight="1">
      <c r="A136" s="103" t="s">
        <v>99</v>
      </c>
      <c r="B136" s="102"/>
      <c r="C136" s="108">
        <v>69</v>
      </c>
      <c r="D136" s="45">
        <v>138</v>
      </c>
      <c r="E136" s="45">
        <v>207</v>
      </c>
      <c r="F136" s="45">
        <v>276</v>
      </c>
      <c r="G136" s="45">
        <v>345</v>
      </c>
      <c r="H136" s="24"/>
      <c r="I136" s="31"/>
      <c r="J136" s="7"/>
      <c r="K136" s="4"/>
      <c r="L136" s="4"/>
      <c r="M136" s="4"/>
      <c r="N136" s="4"/>
      <c r="O136" s="4"/>
      <c r="P136" s="4"/>
    </row>
    <row r="137" spans="1:16" ht="30" customHeight="1">
      <c r="A137" s="104" t="s">
        <v>100</v>
      </c>
      <c r="B137" s="102"/>
      <c r="C137" s="109">
        <v>54.5</v>
      </c>
      <c r="D137" s="35">
        <v>109</v>
      </c>
      <c r="E137" s="36">
        <v>151.5</v>
      </c>
      <c r="F137" s="35">
        <v>206</v>
      </c>
      <c r="G137" s="36">
        <v>260.5</v>
      </c>
      <c r="H137" s="24"/>
      <c r="I137" s="31"/>
      <c r="J137" s="7"/>
      <c r="K137" s="4"/>
      <c r="L137" s="4"/>
      <c r="M137" s="4"/>
      <c r="N137" s="4"/>
      <c r="O137" s="4"/>
      <c r="P137" s="4"/>
    </row>
    <row r="138" spans="1:16" ht="30" customHeight="1">
      <c r="A138" s="103" t="s">
        <v>93</v>
      </c>
      <c r="B138" s="102"/>
      <c r="C138" s="108">
        <v>49</v>
      </c>
      <c r="D138" s="45">
        <v>98</v>
      </c>
      <c r="E138" s="45">
        <v>147</v>
      </c>
      <c r="F138" s="45">
        <v>196</v>
      </c>
      <c r="G138" s="45">
        <v>245</v>
      </c>
      <c r="H138" s="24"/>
      <c r="I138" s="31"/>
      <c r="J138" s="7"/>
      <c r="K138" s="4"/>
      <c r="L138" s="4"/>
      <c r="M138" s="4"/>
      <c r="N138" s="4"/>
      <c r="O138" s="4"/>
      <c r="P138" s="4"/>
    </row>
    <row r="139" spans="1:16" ht="18" customHeight="1">
      <c r="A139" s="7"/>
      <c r="B139" s="113"/>
      <c r="C139" s="4"/>
      <c r="D139" s="4"/>
      <c r="E139" s="4"/>
      <c r="F139" s="4"/>
      <c r="G139" s="4"/>
      <c r="H139" s="27"/>
      <c r="I139" s="61"/>
      <c r="J139" s="7"/>
      <c r="K139" s="4"/>
      <c r="L139" s="4"/>
      <c r="M139" s="4"/>
      <c r="N139" s="4"/>
      <c r="O139" s="4"/>
      <c r="P139" s="4"/>
    </row>
    <row r="140" spans="1:16" ht="18" customHeight="1">
      <c r="A140" s="7"/>
      <c r="B140" s="113"/>
      <c r="C140" s="4"/>
      <c r="D140" s="4"/>
      <c r="E140" s="4"/>
      <c r="F140" s="4"/>
      <c r="G140" s="4"/>
      <c r="H140" s="27"/>
      <c r="I140" s="61"/>
      <c r="J140" s="7"/>
      <c r="K140" s="4"/>
      <c r="L140" s="4"/>
      <c r="M140" s="4"/>
      <c r="N140" s="4"/>
      <c r="O140" s="4"/>
      <c r="P140" s="4"/>
    </row>
    <row r="141" spans="1:16" ht="18" customHeight="1">
      <c r="A141" s="7"/>
      <c r="B141" s="113"/>
      <c r="C141" s="4"/>
      <c r="D141" s="4"/>
      <c r="E141" s="4"/>
      <c r="F141" s="4"/>
      <c r="G141" s="4"/>
      <c r="H141" s="27"/>
      <c r="I141" s="61"/>
      <c r="J141" s="7"/>
      <c r="K141" s="4"/>
      <c r="L141" s="4"/>
      <c r="M141" s="4"/>
      <c r="N141" s="4"/>
      <c r="O141" s="4"/>
      <c r="P141" s="4"/>
    </row>
    <row r="142" spans="1:16" ht="18" customHeight="1">
      <c r="A142" s="7"/>
      <c r="B142" s="113"/>
      <c r="C142" s="4"/>
      <c r="D142" s="4"/>
      <c r="E142" s="4"/>
      <c r="F142" s="4"/>
      <c r="G142" s="4"/>
      <c r="H142" s="27"/>
      <c r="I142" s="61"/>
      <c r="J142" s="7"/>
      <c r="K142" s="4"/>
      <c r="L142" s="4"/>
      <c r="M142" s="4"/>
      <c r="N142" s="4"/>
      <c r="O142" s="4"/>
      <c r="P142" s="4"/>
    </row>
    <row r="143" spans="1:16" ht="42" customHeight="1">
      <c r="A143" s="114" t="s">
        <v>101</v>
      </c>
      <c r="B143" s="18"/>
      <c r="C143" s="115" t="s">
        <v>2</v>
      </c>
      <c r="D143" s="3"/>
      <c r="E143" s="3"/>
      <c r="F143" s="3"/>
      <c r="G143" s="4"/>
      <c r="H143" s="27"/>
      <c r="I143" s="61"/>
      <c r="J143" s="7"/>
      <c r="K143" s="4"/>
      <c r="L143" s="4"/>
      <c r="M143" s="4"/>
      <c r="N143" s="4"/>
      <c r="O143" s="4"/>
      <c r="P143" s="4"/>
    </row>
    <row r="144" spans="1:16" ht="18" customHeight="1">
      <c r="A144" s="19"/>
      <c r="B144" s="18"/>
      <c r="C144" s="18"/>
      <c r="D144" s="3"/>
      <c r="E144" s="3"/>
      <c r="F144" s="3"/>
      <c r="G144" s="4"/>
      <c r="H144" s="27"/>
      <c r="I144" s="61"/>
      <c r="J144" s="7"/>
      <c r="K144" s="4"/>
      <c r="L144" s="4"/>
      <c r="M144" s="4"/>
      <c r="N144" s="4"/>
      <c r="O144" s="4"/>
      <c r="P144" s="4"/>
    </row>
    <row r="145" spans="1:16" ht="18" customHeight="1">
      <c r="A145" s="116" t="s">
        <v>102</v>
      </c>
      <c r="B145" s="18"/>
      <c r="C145" s="18"/>
      <c r="D145" s="3"/>
      <c r="E145" s="3"/>
      <c r="F145" s="3"/>
      <c r="G145" s="4"/>
      <c r="H145" s="27"/>
      <c r="I145" s="61"/>
      <c r="J145" s="7"/>
      <c r="K145" s="4"/>
      <c r="L145" s="4"/>
      <c r="M145" s="4"/>
      <c r="N145" s="4"/>
      <c r="O145" s="4"/>
      <c r="P145" s="4"/>
    </row>
    <row r="146" spans="1:16" ht="18" customHeight="1">
      <c r="A146" s="19"/>
      <c r="B146" s="18"/>
      <c r="C146" s="18"/>
      <c r="D146" s="3"/>
      <c r="E146" s="3"/>
      <c r="F146" s="3"/>
      <c r="G146" s="4"/>
      <c r="H146" s="27"/>
      <c r="I146" s="61"/>
      <c r="J146" s="7"/>
      <c r="K146" s="4"/>
      <c r="L146" s="4"/>
      <c r="M146" s="4"/>
      <c r="N146" s="4"/>
      <c r="O146" s="4"/>
      <c r="P146" s="4"/>
    </row>
    <row r="147" spans="1:16" ht="18" customHeight="1">
      <c r="A147" s="115" t="s">
        <v>49</v>
      </c>
      <c r="B147" s="18"/>
      <c r="C147" s="117">
        <v>165</v>
      </c>
      <c r="D147" s="3"/>
      <c r="E147" s="3"/>
      <c r="F147" s="3"/>
      <c r="G147" s="4"/>
      <c r="H147" s="27"/>
      <c r="I147" s="61"/>
      <c r="J147" s="7"/>
      <c r="K147" s="4"/>
      <c r="L147" s="4"/>
      <c r="M147" s="4"/>
      <c r="N147" s="4"/>
      <c r="O147" s="4"/>
      <c r="P147" s="4"/>
    </row>
    <row r="148" spans="1:16" ht="18" customHeight="1">
      <c r="A148" s="18" t="s">
        <v>103</v>
      </c>
      <c r="B148" s="18"/>
      <c r="C148" s="118">
        <v>145</v>
      </c>
      <c r="D148" s="3"/>
      <c r="E148" s="3"/>
      <c r="F148" s="3"/>
      <c r="G148" s="4"/>
      <c r="H148" s="27"/>
      <c r="I148" s="61"/>
      <c r="J148" s="7"/>
      <c r="K148" s="4"/>
      <c r="L148" s="4"/>
      <c r="M148" s="4"/>
      <c r="N148" s="4"/>
      <c r="O148" s="4"/>
      <c r="P148" s="4"/>
    </row>
    <row r="149" spans="1:16" ht="18" customHeight="1">
      <c r="A149" s="19"/>
      <c r="B149" s="18"/>
      <c r="C149" s="18"/>
      <c r="D149" s="3"/>
      <c r="E149" s="3"/>
      <c r="F149" s="3"/>
      <c r="G149" s="4"/>
      <c r="H149" s="27"/>
      <c r="I149" s="61"/>
      <c r="J149" s="7"/>
      <c r="K149" s="4"/>
      <c r="L149" s="4"/>
      <c r="M149" s="4"/>
      <c r="N149" s="4"/>
      <c r="O149" s="4"/>
      <c r="P149" s="4"/>
    </row>
    <row r="150" spans="1:16" ht="18" customHeight="1">
      <c r="A150" s="119" t="s">
        <v>104</v>
      </c>
      <c r="B150" s="18"/>
      <c r="C150" s="18"/>
      <c r="D150" s="3"/>
      <c r="E150" s="3"/>
      <c r="F150" s="3"/>
      <c r="G150" s="4"/>
      <c r="H150" s="27"/>
      <c r="I150" s="61"/>
      <c r="J150" s="7"/>
      <c r="K150" s="4"/>
      <c r="L150" s="4"/>
      <c r="M150" s="4"/>
      <c r="N150" s="4"/>
      <c r="O150" s="4"/>
      <c r="P150" s="4"/>
    </row>
    <row r="151" spans="1:16" ht="18" customHeight="1">
      <c r="A151" s="19"/>
      <c r="B151" s="18"/>
      <c r="C151" s="18"/>
      <c r="D151" s="3"/>
      <c r="E151" s="3"/>
      <c r="F151" s="3"/>
      <c r="G151" s="4"/>
      <c r="H151" s="27"/>
      <c r="I151" s="61"/>
      <c r="J151" s="7"/>
      <c r="K151" s="4"/>
      <c r="L151" s="4"/>
      <c r="M151" s="4"/>
      <c r="N151" s="4"/>
      <c r="O151" s="4"/>
      <c r="P151" s="4"/>
    </row>
    <row r="152" spans="1:16" ht="18" customHeight="1">
      <c r="A152" s="18" t="s">
        <v>49</v>
      </c>
      <c r="B152" s="18"/>
      <c r="C152" s="118">
        <v>198</v>
      </c>
      <c r="D152" s="3"/>
      <c r="E152" s="3"/>
      <c r="F152" s="3"/>
      <c r="G152" s="4"/>
      <c r="H152" s="27"/>
      <c r="I152" s="61"/>
      <c r="J152" s="7"/>
      <c r="K152" s="4"/>
      <c r="L152" s="4"/>
      <c r="M152" s="4"/>
      <c r="N152" s="4"/>
      <c r="O152" s="4"/>
      <c r="P152" s="4"/>
    </row>
    <row r="153" spans="1:16" ht="18" customHeight="1">
      <c r="A153" s="115" t="s">
        <v>103</v>
      </c>
      <c r="B153" s="18"/>
      <c r="C153" s="117">
        <v>168</v>
      </c>
      <c r="D153" s="3"/>
      <c r="E153" s="3"/>
      <c r="F153" s="3"/>
      <c r="G153" s="4"/>
      <c r="H153" s="27"/>
      <c r="I153" s="61"/>
      <c r="J153" s="7"/>
      <c r="K153" s="4"/>
      <c r="L153" s="4"/>
      <c r="M153" s="4"/>
      <c r="N153" s="4"/>
      <c r="O153" s="4"/>
      <c r="P153" s="4"/>
    </row>
    <row r="154" spans="1:16" ht="18" customHeight="1">
      <c r="A154" s="19"/>
      <c r="B154" s="18"/>
      <c r="C154" s="18"/>
      <c r="D154" s="3"/>
      <c r="E154" s="3"/>
      <c r="F154" s="3"/>
      <c r="G154" s="4"/>
      <c r="H154" s="27"/>
      <c r="I154" s="61"/>
      <c r="J154" s="7"/>
      <c r="K154" s="4"/>
      <c r="L154" s="4"/>
      <c r="M154" s="4"/>
      <c r="N154" s="4"/>
      <c r="O154" s="4"/>
      <c r="P154" s="4"/>
    </row>
    <row r="155" spans="1:16" ht="30" customHeight="1">
      <c r="A155" s="116" t="s">
        <v>105</v>
      </c>
      <c r="B155" s="18"/>
      <c r="C155" s="18"/>
      <c r="D155" s="3"/>
      <c r="E155" s="3"/>
      <c r="F155" s="3"/>
      <c r="G155" s="4"/>
      <c r="H155" s="27"/>
      <c r="I155" s="61"/>
      <c r="J155" s="7"/>
      <c r="K155" s="4"/>
      <c r="L155" s="4"/>
      <c r="M155" s="4"/>
      <c r="N155" s="4"/>
      <c r="O155" s="4"/>
      <c r="P155" s="4"/>
    </row>
    <row r="156" spans="1:16" ht="18" customHeight="1">
      <c r="A156" s="19"/>
      <c r="B156" s="18"/>
      <c r="C156" s="18"/>
      <c r="D156" s="3"/>
      <c r="E156" s="3"/>
      <c r="F156" s="3"/>
      <c r="G156" s="4"/>
      <c r="H156" s="27"/>
      <c r="I156" s="61"/>
      <c r="J156" s="7"/>
      <c r="K156" s="4"/>
      <c r="L156" s="4"/>
      <c r="M156" s="4"/>
      <c r="N156" s="4"/>
      <c r="O156" s="4"/>
      <c r="P156" s="4"/>
    </row>
    <row r="157" spans="1:16" ht="18" customHeight="1">
      <c r="A157" s="115" t="s">
        <v>49</v>
      </c>
      <c r="B157" s="18"/>
      <c r="C157" s="117">
        <v>150</v>
      </c>
      <c r="D157" s="3"/>
      <c r="E157" s="3"/>
      <c r="F157" s="3"/>
      <c r="G157" s="4"/>
      <c r="H157" s="27"/>
      <c r="I157" s="61"/>
      <c r="J157" s="7"/>
      <c r="K157" s="4"/>
      <c r="L157" s="4"/>
      <c r="M157" s="4"/>
      <c r="N157" s="4"/>
      <c r="O157" s="4"/>
      <c r="P157" s="4"/>
    </row>
    <row r="158" spans="1:16" ht="18" customHeight="1">
      <c r="A158" s="18" t="s">
        <v>103</v>
      </c>
      <c r="B158" s="18"/>
      <c r="C158" s="118">
        <v>85</v>
      </c>
      <c r="D158" s="3"/>
      <c r="E158" s="3"/>
      <c r="F158" s="3"/>
      <c r="G158" s="4"/>
      <c r="H158" s="27"/>
      <c r="I158" s="61"/>
      <c r="J158" s="7"/>
      <c r="K158" s="4"/>
      <c r="L158" s="4"/>
      <c r="M158" s="4"/>
      <c r="N158" s="4"/>
      <c r="O158" s="4"/>
      <c r="P158" s="4"/>
    </row>
    <row r="159" spans="1:16" ht="18" customHeight="1">
      <c r="A159" s="2"/>
      <c r="B159" s="102"/>
      <c r="C159" s="3"/>
      <c r="D159" s="3"/>
      <c r="E159" s="3"/>
      <c r="F159" s="3"/>
      <c r="G159" s="4"/>
      <c r="H159" s="27"/>
      <c r="I159" s="61"/>
      <c r="J159" s="7"/>
      <c r="K159" s="4"/>
      <c r="L159" s="4"/>
      <c r="M159" s="4"/>
      <c r="N159" s="4"/>
      <c r="O159" s="4"/>
      <c r="P159" s="4"/>
    </row>
    <row r="160" spans="1:16" ht="18" customHeight="1">
      <c r="A160" s="7"/>
      <c r="B160" s="113"/>
      <c r="C160" s="4"/>
      <c r="D160" s="4"/>
      <c r="E160" s="4"/>
      <c r="F160" s="4"/>
      <c r="G160" s="4"/>
      <c r="H160" s="27"/>
      <c r="I160" s="61"/>
      <c r="J160" s="7"/>
      <c r="K160" s="4"/>
      <c r="L160" s="4"/>
      <c r="M160" s="4"/>
      <c r="N160" s="4"/>
      <c r="O160" s="4"/>
      <c r="P160" s="4"/>
    </row>
    <row r="161" spans="1:16" ht="42" customHeight="1">
      <c r="A161" s="62" t="s">
        <v>106</v>
      </c>
      <c r="B161" s="4"/>
      <c r="C161" s="6" t="s">
        <v>2</v>
      </c>
      <c r="D161" s="4"/>
      <c r="E161" s="4"/>
      <c r="F161" s="4"/>
      <c r="G161" s="4"/>
      <c r="H161" s="27"/>
      <c r="I161" s="61"/>
      <c r="J161" s="7"/>
      <c r="K161" s="4"/>
      <c r="L161" s="4"/>
      <c r="M161" s="4"/>
      <c r="N161" s="4"/>
      <c r="O161" s="4"/>
      <c r="P161" s="4"/>
    </row>
    <row r="162" spans="1:16" ht="18" customHeight="1">
      <c r="A162" s="7"/>
      <c r="B162" s="4"/>
      <c r="C162" s="4"/>
      <c r="D162" s="4"/>
      <c r="E162" s="4"/>
      <c r="F162" s="4"/>
      <c r="G162" s="4"/>
      <c r="H162" s="27"/>
      <c r="I162" s="61"/>
      <c r="J162" s="7"/>
      <c r="K162" s="4"/>
      <c r="L162" s="4"/>
      <c r="M162" s="4"/>
      <c r="N162" s="4"/>
      <c r="O162" s="4"/>
      <c r="P162" s="4"/>
    </row>
    <row r="163" spans="1:16" ht="18" customHeight="1">
      <c r="A163" s="65" t="s">
        <v>107</v>
      </c>
      <c r="B163" s="66">
        <v>65</v>
      </c>
      <c r="C163" s="4"/>
      <c r="D163" s="4"/>
      <c r="E163" s="4"/>
      <c r="F163" s="4"/>
      <c r="G163" s="4"/>
      <c r="H163" s="27"/>
      <c r="I163" s="61"/>
      <c r="J163" s="7"/>
      <c r="K163" s="4"/>
      <c r="L163" s="4"/>
      <c r="M163" s="4"/>
      <c r="N163" s="4"/>
      <c r="O163" s="4"/>
      <c r="P163" s="4"/>
    </row>
    <row r="164" spans="1:16" ht="18" customHeight="1">
      <c r="A164" s="67" t="s">
        <v>108</v>
      </c>
      <c r="B164" s="68">
        <v>450</v>
      </c>
      <c r="C164" s="4"/>
      <c r="D164" s="4"/>
      <c r="E164" s="4"/>
      <c r="F164" s="4"/>
      <c r="G164" s="4"/>
      <c r="H164" s="27"/>
      <c r="I164" s="61"/>
      <c r="J164" s="7"/>
      <c r="K164" s="4"/>
      <c r="L164" s="4"/>
      <c r="M164" s="4"/>
      <c r="N164" s="4"/>
      <c r="O164" s="4"/>
      <c r="P164" s="4"/>
    </row>
    <row r="165" spans="1:16" ht="18" customHeight="1">
      <c r="A165" s="65" t="s">
        <v>109</v>
      </c>
      <c r="B165" s="66">
        <v>450</v>
      </c>
      <c r="C165" s="4"/>
      <c r="D165" s="4"/>
      <c r="E165" s="4"/>
      <c r="F165" s="4"/>
      <c r="G165" s="4"/>
      <c r="H165" s="27"/>
      <c r="I165" s="61"/>
      <c r="J165" s="7"/>
      <c r="K165" s="4"/>
      <c r="L165" s="4"/>
      <c r="M165" s="4"/>
      <c r="N165" s="4"/>
      <c r="O165" s="4"/>
      <c r="P165" s="4"/>
    </row>
    <row r="166" spans="1:16" ht="18" customHeight="1">
      <c r="A166" s="67" t="s">
        <v>110</v>
      </c>
      <c r="B166" s="68">
        <v>450</v>
      </c>
      <c r="C166" s="4"/>
      <c r="D166" s="4"/>
      <c r="E166" s="4"/>
      <c r="F166" s="4"/>
      <c r="G166" s="4"/>
      <c r="H166" s="27"/>
      <c r="I166" s="61"/>
      <c r="J166" s="7"/>
      <c r="K166" s="4"/>
      <c r="L166" s="4"/>
      <c r="M166" s="4"/>
      <c r="N166" s="4"/>
      <c r="O166" s="4"/>
      <c r="P166" s="4"/>
    </row>
  </sheetData>
  <mergeCells count="33">
    <mergeCell ref="A3:P3"/>
    <mergeCell ref="J7:P7"/>
    <mergeCell ref="J54:P54"/>
    <mergeCell ref="B34:H34"/>
    <mergeCell ref="B7:H7"/>
    <mergeCell ref="B72:H72"/>
    <mergeCell ref="J73:P73"/>
    <mergeCell ref="J14:P14"/>
    <mergeCell ref="J72:P72"/>
    <mergeCell ref="B21:H21"/>
    <mergeCell ref="J40:P40"/>
    <mergeCell ref="J30:P30"/>
    <mergeCell ref="J34:P34"/>
    <mergeCell ref="J15:P15"/>
    <mergeCell ref="B14:H14"/>
    <mergeCell ref="J65:P65"/>
    <mergeCell ref="J45:P45"/>
    <mergeCell ref="J26:P26"/>
    <mergeCell ref="B73:H73"/>
    <mergeCell ref="J35:P35"/>
    <mergeCell ref="B15:H15"/>
    <mergeCell ref="B45:H45"/>
    <mergeCell ref="B26:H26"/>
    <mergeCell ref="B41:H41"/>
    <mergeCell ref="B35:H35"/>
    <mergeCell ref="B29:H29"/>
    <mergeCell ref="J41:P41"/>
    <mergeCell ref="B40:H40"/>
    <mergeCell ref="B65:H65"/>
    <mergeCell ref="J21:P21"/>
    <mergeCell ref="B30:H30"/>
    <mergeCell ref="B54:H54"/>
    <mergeCell ref="J29:P29"/>
  </mergeCells>
  <pageMargins left="0.3" right="0.3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5911"/>
  </sheetPr>
  <dimension ref="A1:P87"/>
  <sheetViews>
    <sheetView showGridLines="0" topLeftCell="A38" workbookViewId="0">
      <pane xSplit="1" ySplit="7" topLeftCell="B78" activePane="bottomRight" state="frozen"/>
      <selection pane="topRight"/>
      <selection pane="bottomLeft"/>
      <selection pane="bottomRight" activeCell="I64" sqref="I64"/>
    </sheetView>
  </sheetViews>
  <sheetFormatPr baseColWidth="10" defaultRowHeight="14.4"/>
  <cols>
    <col min="1" max="1" width="38" customWidth="1"/>
    <col min="2" max="2" width="14" customWidth="1"/>
    <col min="3" max="5" width="12" customWidth="1"/>
    <col min="6" max="6" width="14" customWidth="1"/>
    <col min="7" max="7" width="12" customWidth="1"/>
    <col min="8" max="8" width="10" customWidth="1"/>
    <col min="9" max="9" width="21.6640625" bestFit="1" customWidth="1"/>
    <col min="10" max="10" width="14" customWidth="1"/>
    <col min="11" max="15" width="12" customWidth="1"/>
    <col min="16" max="16" width="10" customWidth="1"/>
  </cols>
  <sheetData>
    <row r="1" spans="1:16" ht="18" customHeight="1">
      <c r="I1" s="30"/>
    </row>
    <row r="2" spans="1:16" ht="18" customHeight="1">
      <c r="H2" s="23"/>
      <c r="I2" s="30"/>
    </row>
    <row r="3" spans="1:16" ht="30" customHeight="1">
      <c r="A3" s="92" t="s">
        <v>111</v>
      </c>
      <c r="B3" s="93"/>
      <c r="C3" s="93"/>
      <c r="D3" s="93"/>
      <c r="E3" s="93"/>
      <c r="F3" s="93"/>
      <c r="G3" s="93"/>
      <c r="H3" s="93"/>
      <c r="I3" s="94"/>
      <c r="J3" s="93"/>
      <c r="K3" s="93"/>
      <c r="L3" s="93"/>
      <c r="M3" s="93"/>
      <c r="N3" s="93"/>
      <c r="O3" s="93"/>
      <c r="P3" s="95"/>
    </row>
    <row r="4" spans="1:16" ht="18" customHeight="1" thickBot="1">
      <c r="A4" s="2"/>
      <c r="B4" s="3"/>
      <c r="C4" s="3"/>
      <c r="D4" s="3"/>
      <c r="E4" s="3"/>
      <c r="F4" s="3"/>
      <c r="G4" s="3"/>
      <c r="H4" s="24"/>
      <c r="I4" s="31"/>
      <c r="J4" s="2"/>
      <c r="K4" s="3"/>
      <c r="L4" s="3"/>
      <c r="M4" s="3"/>
      <c r="N4" s="3"/>
      <c r="O4" s="3"/>
      <c r="P4" s="4"/>
    </row>
    <row r="5" spans="1:16" ht="18" customHeight="1" thickBot="1">
      <c r="A5" s="2"/>
      <c r="B5" s="3"/>
      <c r="C5" s="3"/>
      <c r="D5" s="3"/>
      <c r="E5" s="3"/>
      <c r="F5" s="3"/>
      <c r="G5" s="3"/>
      <c r="H5" s="24"/>
      <c r="I5" s="31"/>
      <c r="J5" s="2"/>
      <c r="K5" s="3"/>
      <c r="L5" s="3"/>
      <c r="M5" s="3"/>
      <c r="N5" s="3"/>
      <c r="O5" s="3"/>
      <c r="P5" s="4"/>
    </row>
    <row r="6" spans="1:16" ht="42" customHeight="1">
      <c r="A6" s="69" t="s">
        <v>1</v>
      </c>
      <c r="B6" s="69" t="s">
        <v>2</v>
      </c>
      <c r="C6" s="3"/>
      <c r="D6" s="3"/>
      <c r="E6" s="3"/>
      <c r="F6" s="3"/>
      <c r="G6" s="3"/>
      <c r="H6" s="24"/>
      <c r="I6" s="31"/>
      <c r="J6" s="2"/>
      <c r="K6" s="3"/>
      <c r="L6" s="3"/>
      <c r="M6" s="3"/>
      <c r="N6" s="3"/>
      <c r="O6" s="3"/>
      <c r="P6" s="4"/>
    </row>
    <row r="7" spans="1:16" ht="18" customHeight="1">
      <c r="A7" s="70" t="s">
        <v>3</v>
      </c>
      <c r="B7" s="84" t="s">
        <v>3</v>
      </c>
      <c r="C7" s="83"/>
      <c r="D7" s="83"/>
      <c r="E7" s="83"/>
      <c r="F7" s="83"/>
      <c r="G7" s="83"/>
      <c r="H7" s="83"/>
      <c r="I7" s="33" t="s">
        <v>4</v>
      </c>
      <c r="J7" s="85" t="s">
        <v>4</v>
      </c>
      <c r="K7" s="83"/>
      <c r="L7" s="83"/>
      <c r="M7" s="83"/>
      <c r="N7" s="83"/>
      <c r="O7" s="83"/>
      <c r="P7" s="83"/>
    </row>
    <row r="8" spans="1:16" ht="18" customHeight="1">
      <c r="A8" s="34" t="s">
        <v>5</v>
      </c>
      <c r="B8" s="34" t="s">
        <v>6</v>
      </c>
      <c r="C8" s="34" t="s">
        <v>7</v>
      </c>
      <c r="D8" s="34" t="s">
        <v>8</v>
      </c>
      <c r="E8" s="34" t="s">
        <v>9</v>
      </c>
      <c r="F8" s="34" t="s">
        <v>10</v>
      </c>
      <c r="G8" s="34" t="s">
        <v>11</v>
      </c>
      <c r="H8" s="34" t="s">
        <v>12</v>
      </c>
      <c r="I8" s="31"/>
      <c r="J8" s="34" t="s">
        <v>6</v>
      </c>
      <c r="K8" s="34" t="s">
        <v>7</v>
      </c>
      <c r="L8" s="34" t="s">
        <v>8</v>
      </c>
      <c r="M8" s="34" t="s">
        <v>9</v>
      </c>
      <c r="N8" s="34" t="s">
        <v>10</v>
      </c>
      <c r="O8" s="34" t="s">
        <v>11</v>
      </c>
      <c r="P8" s="34" t="s">
        <v>12</v>
      </c>
    </row>
    <row r="9" spans="1:16" ht="30" customHeight="1">
      <c r="A9" s="6" t="s">
        <v>13</v>
      </c>
      <c r="B9" s="35">
        <v>36</v>
      </c>
      <c r="C9" s="35">
        <v>72</v>
      </c>
      <c r="D9" s="35">
        <v>108</v>
      </c>
      <c r="E9" s="35">
        <v>144</v>
      </c>
      <c r="F9" s="36">
        <v>147.5</v>
      </c>
      <c r="G9" s="36">
        <v>148.5</v>
      </c>
      <c r="H9" s="37">
        <v>149.5</v>
      </c>
      <c r="I9" s="31"/>
      <c r="J9" s="35">
        <v>36</v>
      </c>
      <c r="K9" s="35">
        <v>72</v>
      </c>
      <c r="L9" s="35">
        <v>108</v>
      </c>
      <c r="M9" s="35">
        <v>144</v>
      </c>
      <c r="N9" s="36">
        <v>147.5</v>
      </c>
      <c r="O9" s="36">
        <v>148.5</v>
      </c>
      <c r="P9" s="36">
        <v>149.5</v>
      </c>
    </row>
    <row r="10" spans="1:16" ht="30" customHeight="1">
      <c r="A10" s="71" t="s">
        <v>14</v>
      </c>
      <c r="B10" s="72">
        <v>56</v>
      </c>
      <c r="C10" s="72">
        <v>111</v>
      </c>
      <c r="D10" s="72">
        <v>167</v>
      </c>
      <c r="E10" s="72">
        <v>222</v>
      </c>
      <c r="F10" s="73">
        <v>226.5</v>
      </c>
      <c r="G10" s="72">
        <v>231</v>
      </c>
      <c r="H10" s="74">
        <v>232</v>
      </c>
      <c r="I10" s="31"/>
      <c r="J10" s="72">
        <v>56</v>
      </c>
      <c r="K10" s="72">
        <v>111</v>
      </c>
      <c r="L10" s="72">
        <v>167</v>
      </c>
      <c r="M10" s="72">
        <v>222</v>
      </c>
      <c r="N10" s="73">
        <v>226.5</v>
      </c>
      <c r="O10" s="72">
        <v>231</v>
      </c>
      <c r="P10" s="72">
        <v>232</v>
      </c>
    </row>
    <row r="11" spans="1:16" ht="30" customHeight="1" thickBot="1">
      <c r="A11" s="6" t="s">
        <v>15</v>
      </c>
      <c r="B11" s="36">
        <v>24.5</v>
      </c>
      <c r="C11" s="36">
        <v>48.5</v>
      </c>
      <c r="D11" s="36">
        <v>72.5</v>
      </c>
      <c r="E11" s="36">
        <v>96.5</v>
      </c>
      <c r="F11" s="35">
        <v>101</v>
      </c>
      <c r="G11" s="36">
        <v>102.5</v>
      </c>
      <c r="H11" s="37">
        <v>103.5</v>
      </c>
      <c r="I11" s="31"/>
      <c r="J11" s="36">
        <v>24.5</v>
      </c>
      <c r="K11" s="36">
        <v>48.5</v>
      </c>
      <c r="L11" s="36">
        <v>72.5</v>
      </c>
      <c r="M11" s="36">
        <v>96.5</v>
      </c>
      <c r="N11" s="35">
        <v>101</v>
      </c>
      <c r="O11" s="36">
        <v>102.5</v>
      </c>
      <c r="P11" s="36">
        <v>103.5</v>
      </c>
    </row>
    <row r="12" spans="1:16" ht="18" customHeight="1" thickBot="1">
      <c r="A12" s="2"/>
      <c r="B12" s="3"/>
      <c r="C12" s="3"/>
      <c r="D12" s="3"/>
      <c r="E12" s="3"/>
      <c r="F12" s="3"/>
      <c r="G12" s="3"/>
      <c r="H12" s="24"/>
      <c r="I12" s="31"/>
      <c r="J12" s="2"/>
      <c r="K12" s="3"/>
      <c r="L12" s="3"/>
      <c r="M12" s="3"/>
      <c r="N12" s="3"/>
      <c r="O12" s="3"/>
      <c r="P12" s="4"/>
    </row>
    <row r="13" spans="1:16" ht="18" customHeight="1" thickBot="1">
      <c r="A13" s="2"/>
      <c r="B13" s="3"/>
      <c r="C13" s="3"/>
      <c r="D13" s="3"/>
      <c r="E13" s="3"/>
      <c r="F13" s="3"/>
      <c r="G13" s="3"/>
      <c r="H13" s="24"/>
      <c r="I13" s="31"/>
      <c r="J13" s="2"/>
      <c r="K13" s="3"/>
      <c r="L13" s="3"/>
      <c r="M13" s="3"/>
      <c r="N13" s="3"/>
      <c r="O13" s="3"/>
      <c r="P13" s="4"/>
    </row>
    <row r="14" spans="1:16" ht="18" customHeight="1">
      <c r="A14" s="70" t="s">
        <v>3</v>
      </c>
      <c r="B14" s="84" t="s">
        <v>3</v>
      </c>
      <c r="C14" s="83"/>
      <c r="D14" s="83"/>
      <c r="E14" s="83"/>
      <c r="F14" s="83"/>
      <c r="G14" s="83"/>
      <c r="H14" s="83"/>
      <c r="I14" s="42"/>
      <c r="J14" s="85" t="s">
        <v>4</v>
      </c>
      <c r="K14" s="83"/>
      <c r="L14" s="83"/>
      <c r="M14" s="83"/>
      <c r="N14" s="83"/>
      <c r="O14" s="83"/>
      <c r="P14" s="83"/>
    </row>
    <row r="15" spans="1:16" ht="18" customHeight="1">
      <c r="A15" s="43" t="s">
        <v>16</v>
      </c>
      <c r="B15" s="84" t="s">
        <v>3</v>
      </c>
      <c r="C15" s="83"/>
      <c r="D15" s="83"/>
      <c r="E15" s="83"/>
      <c r="F15" s="83"/>
      <c r="G15" s="83"/>
      <c r="H15" s="83"/>
      <c r="I15" s="44" t="s">
        <v>4</v>
      </c>
      <c r="J15" s="85" t="s">
        <v>4</v>
      </c>
      <c r="K15" s="83"/>
      <c r="L15" s="83"/>
      <c r="M15" s="83"/>
      <c r="N15" s="83"/>
      <c r="O15" s="83"/>
      <c r="P15" s="83"/>
    </row>
    <row r="16" spans="1:16" ht="30" customHeight="1">
      <c r="A16" s="34" t="s">
        <v>17</v>
      </c>
      <c r="B16" s="34" t="s">
        <v>6</v>
      </c>
      <c r="C16" s="34" t="s">
        <v>7</v>
      </c>
      <c r="D16" s="34" t="s">
        <v>8</v>
      </c>
      <c r="E16" s="34" t="s">
        <v>9</v>
      </c>
      <c r="F16" s="34" t="s">
        <v>10</v>
      </c>
      <c r="G16" s="34" t="s">
        <v>11</v>
      </c>
      <c r="H16" s="34" t="s">
        <v>12</v>
      </c>
      <c r="I16" s="31"/>
      <c r="J16" s="34" t="s">
        <v>6</v>
      </c>
      <c r="K16" s="34" t="s">
        <v>7</v>
      </c>
      <c r="L16" s="34" t="s">
        <v>8</v>
      </c>
      <c r="M16" s="34" t="s">
        <v>9</v>
      </c>
      <c r="N16" s="34" t="s">
        <v>10</v>
      </c>
      <c r="O16" s="34" t="s">
        <v>11</v>
      </c>
      <c r="P16" s="34" t="s">
        <v>12</v>
      </c>
    </row>
    <row r="17" spans="1:16" ht="30" customHeight="1">
      <c r="A17" s="6" t="s">
        <v>13</v>
      </c>
      <c r="B17" s="35">
        <v>43</v>
      </c>
      <c r="C17" s="35">
        <v>86</v>
      </c>
      <c r="D17" s="35">
        <v>129</v>
      </c>
      <c r="E17" s="35">
        <v>172</v>
      </c>
      <c r="F17" s="36">
        <v>179.5</v>
      </c>
      <c r="G17" s="36">
        <v>184.5</v>
      </c>
      <c r="H17" s="37">
        <v>189.5</v>
      </c>
      <c r="I17" s="31"/>
      <c r="J17" s="35">
        <v>43</v>
      </c>
      <c r="K17" s="35">
        <v>86</v>
      </c>
      <c r="L17" s="35">
        <v>129</v>
      </c>
      <c r="M17" s="35">
        <v>172</v>
      </c>
      <c r="N17" s="36">
        <v>179.5</v>
      </c>
      <c r="O17" s="36">
        <v>184.5</v>
      </c>
      <c r="P17" s="36">
        <v>189.5</v>
      </c>
    </row>
    <row r="18" spans="1:16" ht="30" customHeight="1" thickBot="1">
      <c r="A18" s="71" t="s">
        <v>14</v>
      </c>
      <c r="B18" s="72">
        <v>63</v>
      </c>
      <c r="C18" s="72">
        <v>125</v>
      </c>
      <c r="D18" s="72">
        <v>188</v>
      </c>
      <c r="E18" s="72">
        <v>250</v>
      </c>
      <c r="F18" s="73">
        <v>258.5</v>
      </c>
      <c r="G18" s="72">
        <v>267</v>
      </c>
      <c r="H18" s="74">
        <v>272</v>
      </c>
      <c r="I18" s="31"/>
      <c r="J18" s="72">
        <v>63</v>
      </c>
      <c r="K18" s="72">
        <v>125</v>
      </c>
      <c r="L18" s="72">
        <v>188</v>
      </c>
      <c r="M18" s="72">
        <v>250</v>
      </c>
      <c r="N18" s="73">
        <v>258.5</v>
      </c>
      <c r="O18" s="72">
        <v>267</v>
      </c>
      <c r="P18" s="72">
        <v>272</v>
      </c>
    </row>
    <row r="19" spans="1:16" ht="30" customHeight="1" thickBot="1">
      <c r="A19" s="6" t="s">
        <v>15</v>
      </c>
      <c r="B19" s="36">
        <v>31.5</v>
      </c>
      <c r="C19" s="36">
        <v>62.5</v>
      </c>
      <c r="D19" s="36">
        <v>93.5</v>
      </c>
      <c r="E19" s="36">
        <v>124.5</v>
      </c>
      <c r="F19" s="35">
        <v>133</v>
      </c>
      <c r="G19" s="36">
        <v>138.5</v>
      </c>
      <c r="H19" s="37">
        <v>143.5</v>
      </c>
      <c r="I19" s="31"/>
      <c r="J19" s="36">
        <v>31.5</v>
      </c>
      <c r="K19" s="36">
        <v>62.5</v>
      </c>
      <c r="L19" s="36">
        <v>93.5</v>
      </c>
      <c r="M19" s="36">
        <v>124.5</v>
      </c>
      <c r="N19" s="35">
        <v>133</v>
      </c>
      <c r="O19" s="36">
        <v>138.5</v>
      </c>
      <c r="P19" s="36">
        <v>143.5</v>
      </c>
    </row>
    <row r="20" spans="1:16" ht="18" customHeight="1">
      <c r="A20" s="17" t="s">
        <v>18</v>
      </c>
      <c r="B20" s="45">
        <v>7</v>
      </c>
      <c r="C20" s="45">
        <v>14</v>
      </c>
      <c r="D20" s="45">
        <v>21</v>
      </c>
      <c r="E20" s="45">
        <v>28</v>
      </c>
      <c r="F20" s="45">
        <v>32</v>
      </c>
      <c r="G20" s="45">
        <v>36</v>
      </c>
      <c r="H20" s="46">
        <v>40</v>
      </c>
      <c r="I20" s="31"/>
      <c r="J20" s="45">
        <v>7</v>
      </c>
      <c r="K20" s="45">
        <v>14</v>
      </c>
      <c r="L20" s="45">
        <v>21</v>
      </c>
      <c r="M20" s="45">
        <v>28</v>
      </c>
      <c r="N20" s="45">
        <v>32</v>
      </c>
      <c r="O20" s="45">
        <v>36</v>
      </c>
      <c r="P20" s="45">
        <v>40</v>
      </c>
    </row>
    <row r="21" spans="1:16" ht="18" customHeight="1">
      <c r="A21" s="70" t="s">
        <v>3</v>
      </c>
      <c r="B21" s="84" t="s">
        <v>3</v>
      </c>
      <c r="C21" s="83"/>
      <c r="D21" s="83"/>
      <c r="E21" s="83"/>
      <c r="F21" s="83"/>
      <c r="G21" s="83"/>
      <c r="H21" s="83"/>
      <c r="I21" s="33" t="s">
        <v>4</v>
      </c>
      <c r="J21" s="85" t="s">
        <v>4</v>
      </c>
      <c r="K21" s="83"/>
      <c r="L21" s="83"/>
      <c r="M21" s="83"/>
      <c r="N21" s="83"/>
      <c r="O21" s="83"/>
      <c r="P21" s="83"/>
    </row>
    <row r="22" spans="1:16" ht="18" customHeight="1">
      <c r="A22" s="34" t="s">
        <v>19</v>
      </c>
      <c r="B22" s="34" t="s">
        <v>6</v>
      </c>
      <c r="C22" s="34" t="s">
        <v>7</v>
      </c>
      <c r="D22" s="34" t="s">
        <v>8</v>
      </c>
      <c r="E22" s="34" t="s">
        <v>9</v>
      </c>
      <c r="F22" s="34" t="s">
        <v>10</v>
      </c>
      <c r="G22" s="34" t="s">
        <v>11</v>
      </c>
      <c r="H22" s="34" t="s">
        <v>12</v>
      </c>
      <c r="I22" s="31"/>
      <c r="J22" s="47">
        <v>15.95</v>
      </c>
      <c r="K22" s="47">
        <v>31.9</v>
      </c>
      <c r="L22" s="47">
        <v>47.9</v>
      </c>
      <c r="M22" s="47">
        <v>63.8</v>
      </c>
      <c r="N22" s="48">
        <v>66</v>
      </c>
      <c r="O22" s="47">
        <v>67.099999999999994</v>
      </c>
      <c r="P22" s="47">
        <v>67.55</v>
      </c>
    </row>
    <row r="23" spans="1:16" ht="18" customHeight="1" thickBot="1">
      <c r="A23" s="6" t="s">
        <v>20</v>
      </c>
      <c r="B23" s="36">
        <v>15.95</v>
      </c>
      <c r="C23" s="36">
        <v>31.9</v>
      </c>
      <c r="D23" s="36">
        <v>47.9</v>
      </c>
      <c r="E23" s="36">
        <v>63.8</v>
      </c>
      <c r="F23" s="35">
        <v>66</v>
      </c>
      <c r="G23" s="36">
        <v>67.099999999999994</v>
      </c>
      <c r="H23" s="37">
        <v>67.55</v>
      </c>
      <c r="I23" s="31"/>
      <c r="J23" s="36">
        <v>28.75</v>
      </c>
      <c r="K23" s="36">
        <v>57.5</v>
      </c>
      <c r="L23" s="36">
        <v>86.25</v>
      </c>
      <c r="M23" s="35">
        <v>115</v>
      </c>
      <c r="N23" s="35">
        <v>127</v>
      </c>
      <c r="O23" s="35">
        <v>128</v>
      </c>
      <c r="P23" s="35">
        <v>129</v>
      </c>
    </row>
    <row r="24" spans="1:16" ht="18" customHeight="1" thickBot="1">
      <c r="A24" s="17" t="s">
        <v>21</v>
      </c>
      <c r="B24" s="49">
        <v>28.75</v>
      </c>
      <c r="C24" s="49">
        <v>57.5</v>
      </c>
      <c r="D24" s="49">
        <v>86.25</v>
      </c>
      <c r="E24" s="45">
        <v>115</v>
      </c>
      <c r="F24" s="45">
        <v>127</v>
      </c>
      <c r="G24" s="45">
        <v>128</v>
      </c>
      <c r="H24" s="46">
        <v>129</v>
      </c>
      <c r="I24" s="31"/>
      <c r="J24" s="49">
        <v>48.25</v>
      </c>
      <c r="K24" s="49">
        <v>96.5</v>
      </c>
      <c r="L24" s="49">
        <v>144.75</v>
      </c>
      <c r="M24" s="45">
        <v>193</v>
      </c>
      <c r="N24" s="45">
        <v>205</v>
      </c>
      <c r="O24" s="45">
        <v>206</v>
      </c>
      <c r="P24" s="45">
        <v>207</v>
      </c>
    </row>
    <row r="25" spans="1:16" ht="18" customHeight="1">
      <c r="A25" s="71" t="s">
        <v>22</v>
      </c>
      <c r="B25" s="73">
        <v>48.25</v>
      </c>
      <c r="C25" s="73">
        <v>96.5</v>
      </c>
      <c r="D25" s="73">
        <v>144.75</v>
      </c>
      <c r="E25" s="72">
        <v>193</v>
      </c>
      <c r="F25" s="72">
        <v>205</v>
      </c>
      <c r="G25" s="72">
        <v>206</v>
      </c>
      <c r="H25" s="74">
        <v>207</v>
      </c>
      <c r="I25" s="31"/>
      <c r="J25" s="2"/>
      <c r="K25" s="3"/>
      <c r="L25" s="3"/>
      <c r="M25" s="3"/>
      <c r="N25" s="3"/>
      <c r="O25" s="3"/>
      <c r="P25" s="4"/>
    </row>
    <row r="26" spans="1:16" ht="18" customHeight="1" thickBot="1">
      <c r="A26" s="70" t="s">
        <v>3</v>
      </c>
      <c r="B26" s="84" t="s">
        <v>3</v>
      </c>
      <c r="C26" s="83"/>
      <c r="D26" s="83"/>
      <c r="E26" s="83"/>
      <c r="F26" s="83"/>
      <c r="G26" s="83"/>
      <c r="H26" s="83"/>
      <c r="I26" s="33" t="s">
        <v>4</v>
      </c>
      <c r="J26" s="85" t="s">
        <v>4</v>
      </c>
      <c r="K26" s="83"/>
      <c r="L26" s="83"/>
      <c r="M26" s="83"/>
      <c r="N26" s="83"/>
      <c r="O26" s="83"/>
      <c r="P26" s="83"/>
    </row>
    <row r="27" spans="1:16" ht="18" customHeight="1" thickBot="1">
      <c r="A27" s="34" t="s">
        <v>23</v>
      </c>
      <c r="B27" s="34" t="s">
        <v>6</v>
      </c>
      <c r="C27" s="34" t="s">
        <v>7</v>
      </c>
      <c r="D27" s="34" t="s">
        <v>8</v>
      </c>
      <c r="E27" s="34" t="s">
        <v>9</v>
      </c>
      <c r="F27" s="34" t="s">
        <v>10</v>
      </c>
      <c r="G27" s="34" t="s">
        <v>11</v>
      </c>
      <c r="H27" s="34" t="s">
        <v>12</v>
      </c>
      <c r="I27" s="31"/>
      <c r="J27" s="2"/>
      <c r="K27" s="3"/>
      <c r="L27" s="3"/>
      <c r="M27" s="3"/>
      <c r="N27" s="3"/>
      <c r="O27" s="3"/>
      <c r="P27" s="4"/>
    </row>
    <row r="28" spans="1:16" ht="18" customHeight="1" thickBot="1">
      <c r="A28" s="5"/>
      <c r="B28" s="50">
        <v>16.8</v>
      </c>
      <c r="C28" s="50">
        <v>33.700000000000003</v>
      </c>
      <c r="D28" s="50">
        <v>50.5</v>
      </c>
      <c r="E28" s="50">
        <v>67.5</v>
      </c>
      <c r="F28" s="50">
        <v>71.5</v>
      </c>
      <c r="G28" s="51">
        <v>72</v>
      </c>
      <c r="H28" s="52">
        <v>72.5</v>
      </c>
      <c r="I28" s="31"/>
      <c r="J28" s="50">
        <v>16.8</v>
      </c>
      <c r="K28" s="50">
        <v>33.700000000000003</v>
      </c>
      <c r="L28" s="50">
        <v>50.5</v>
      </c>
      <c r="M28" s="50">
        <v>67.5</v>
      </c>
      <c r="N28" s="50">
        <v>71.5</v>
      </c>
      <c r="O28" s="51">
        <v>72</v>
      </c>
      <c r="P28" s="50">
        <v>72.5</v>
      </c>
    </row>
    <row r="29" spans="1:16" ht="18" customHeight="1">
      <c r="A29" s="70" t="s">
        <v>3</v>
      </c>
      <c r="B29" s="84" t="s">
        <v>3</v>
      </c>
      <c r="C29" s="83"/>
      <c r="D29" s="83"/>
      <c r="E29" s="83"/>
      <c r="F29" s="83"/>
      <c r="G29" s="83"/>
      <c r="H29" s="83"/>
      <c r="I29" s="42"/>
      <c r="J29" s="85" t="s">
        <v>4</v>
      </c>
      <c r="K29" s="83"/>
      <c r="L29" s="83"/>
      <c r="M29" s="83"/>
      <c r="N29" s="83"/>
      <c r="O29" s="83"/>
      <c r="P29" s="83"/>
    </row>
    <row r="30" spans="1:16" ht="18" customHeight="1">
      <c r="A30" s="34" t="s">
        <v>24</v>
      </c>
      <c r="B30" s="82" t="s">
        <v>3</v>
      </c>
      <c r="C30" s="83"/>
      <c r="D30" s="83"/>
      <c r="E30" s="83"/>
      <c r="F30" s="83"/>
      <c r="G30" s="83"/>
      <c r="H30" s="83"/>
      <c r="I30" s="53" t="s">
        <v>4</v>
      </c>
      <c r="J30" s="82" t="s">
        <v>4</v>
      </c>
      <c r="K30" s="83"/>
      <c r="L30" s="83"/>
      <c r="M30" s="83"/>
      <c r="N30" s="83"/>
      <c r="O30" s="83"/>
      <c r="P30" s="83"/>
    </row>
    <row r="31" spans="1:16" ht="18" customHeight="1" thickBot="1">
      <c r="A31" s="5"/>
      <c r="B31" s="51">
        <v>7</v>
      </c>
      <c r="C31" s="51">
        <v>14</v>
      </c>
      <c r="D31" s="51">
        <v>21</v>
      </c>
      <c r="E31" s="51">
        <v>28</v>
      </c>
      <c r="F31" s="51">
        <v>32</v>
      </c>
      <c r="G31" s="51">
        <v>36</v>
      </c>
      <c r="H31" s="46">
        <v>40</v>
      </c>
      <c r="I31" s="31"/>
      <c r="J31" s="51">
        <v>7</v>
      </c>
      <c r="K31" s="51">
        <v>14</v>
      </c>
      <c r="L31" s="51">
        <v>21</v>
      </c>
      <c r="M31" s="51">
        <v>28</v>
      </c>
      <c r="N31" s="51">
        <v>32</v>
      </c>
      <c r="O31" s="51">
        <v>36</v>
      </c>
      <c r="P31" s="51">
        <v>40</v>
      </c>
    </row>
    <row r="32" spans="1:16" ht="18" customHeight="1" thickBot="1">
      <c r="A32" s="2"/>
      <c r="B32" s="3"/>
      <c r="C32" s="3"/>
      <c r="D32" s="3"/>
      <c r="E32" s="3"/>
      <c r="F32" s="3"/>
      <c r="G32" s="3"/>
      <c r="H32" s="24"/>
      <c r="I32" s="31"/>
      <c r="J32" s="2"/>
      <c r="K32" s="3"/>
      <c r="L32" s="3"/>
      <c r="M32" s="3"/>
      <c r="N32" s="3"/>
      <c r="O32" s="3"/>
      <c r="P32" s="4"/>
    </row>
    <row r="33" spans="1:16" ht="42" customHeight="1" thickBot="1">
      <c r="A33" s="54" t="s">
        <v>25</v>
      </c>
      <c r="B33" s="6" t="s">
        <v>2</v>
      </c>
      <c r="C33" s="3"/>
      <c r="D33" s="3"/>
      <c r="E33" s="3"/>
      <c r="F33" s="3"/>
      <c r="G33" s="3"/>
      <c r="H33" s="24"/>
      <c r="I33" s="31"/>
      <c r="J33" s="2"/>
      <c r="K33" s="3"/>
      <c r="L33" s="3"/>
      <c r="M33" s="3"/>
      <c r="N33" s="3"/>
      <c r="O33" s="3"/>
      <c r="P33" s="4"/>
    </row>
    <row r="34" spans="1:16" ht="18" customHeight="1">
      <c r="A34" s="70" t="s">
        <v>3</v>
      </c>
      <c r="B34" s="84" t="s">
        <v>3</v>
      </c>
      <c r="C34" s="83"/>
      <c r="D34" s="83"/>
      <c r="E34" s="83"/>
      <c r="F34" s="83"/>
      <c r="G34" s="83"/>
      <c r="H34" s="83"/>
      <c r="I34" s="42"/>
      <c r="J34" s="85" t="s">
        <v>4</v>
      </c>
      <c r="K34" s="83"/>
      <c r="L34" s="83"/>
      <c r="M34" s="83"/>
      <c r="N34" s="83"/>
      <c r="O34" s="83"/>
      <c r="P34" s="83"/>
    </row>
    <row r="35" spans="1:16" ht="18" customHeight="1">
      <c r="A35" s="55"/>
      <c r="B35" s="82" t="s">
        <v>3</v>
      </c>
      <c r="C35" s="83"/>
      <c r="D35" s="83"/>
      <c r="E35" s="83"/>
      <c r="F35" s="83"/>
      <c r="G35" s="83"/>
      <c r="H35" s="83"/>
      <c r="I35" s="53" t="s">
        <v>4</v>
      </c>
      <c r="J35" s="82" t="s">
        <v>4</v>
      </c>
      <c r="K35" s="83"/>
      <c r="L35" s="83"/>
      <c r="M35" s="83"/>
      <c r="N35" s="83"/>
      <c r="O35" s="83"/>
      <c r="P35" s="83"/>
    </row>
    <row r="36" spans="1:16" ht="30" customHeight="1">
      <c r="A36" s="17" t="s">
        <v>26</v>
      </c>
      <c r="B36" s="45">
        <v>20</v>
      </c>
      <c r="C36" s="45">
        <v>40</v>
      </c>
      <c r="D36" s="45">
        <v>60</v>
      </c>
      <c r="E36" s="45">
        <v>78</v>
      </c>
      <c r="F36" s="45">
        <v>95</v>
      </c>
      <c r="G36" s="45">
        <v>99</v>
      </c>
      <c r="H36" s="46">
        <v>118</v>
      </c>
      <c r="I36" s="31"/>
      <c r="J36" s="45">
        <v>20</v>
      </c>
      <c r="K36" s="45">
        <v>40</v>
      </c>
      <c r="L36" s="45">
        <v>60</v>
      </c>
      <c r="M36" s="45">
        <v>78</v>
      </c>
      <c r="N36" s="45">
        <v>95</v>
      </c>
      <c r="O36" s="45">
        <v>99</v>
      </c>
      <c r="P36" s="45">
        <v>118</v>
      </c>
    </row>
    <row r="37" spans="1:16" ht="18" customHeight="1" thickBot="1">
      <c r="A37" s="6" t="s">
        <v>27</v>
      </c>
      <c r="B37" s="35">
        <v>8</v>
      </c>
      <c r="C37" s="35">
        <v>16</v>
      </c>
      <c r="D37" s="35">
        <v>24</v>
      </c>
      <c r="E37" s="35">
        <v>32</v>
      </c>
      <c r="F37" s="35">
        <v>40</v>
      </c>
      <c r="G37" s="35">
        <v>44</v>
      </c>
      <c r="H37" s="56">
        <v>46</v>
      </c>
      <c r="I37" s="31"/>
      <c r="J37" s="35">
        <v>8</v>
      </c>
      <c r="K37" s="35">
        <v>16</v>
      </c>
      <c r="L37" s="35">
        <v>24</v>
      </c>
      <c r="M37" s="35">
        <v>32</v>
      </c>
      <c r="N37" s="35">
        <v>40</v>
      </c>
      <c r="O37" s="35">
        <v>44</v>
      </c>
      <c r="P37" s="35">
        <v>46</v>
      </c>
    </row>
    <row r="38" spans="1:16" ht="18" customHeight="1" thickBot="1">
      <c r="A38" s="2"/>
      <c r="B38" s="3"/>
      <c r="C38" s="3"/>
      <c r="D38" s="3"/>
      <c r="E38" s="3"/>
      <c r="F38" s="3"/>
      <c r="G38" s="3"/>
      <c r="H38" s="24"/>
      <c r="I38" s="31"/>
      <c r="J38" s="2"/>
      <c r="K38" s="3"/>
      <c r="L38" s="3"/>
      <c r="M38" s="3"/>
      <c r="N38" s="3"/>
      <c r="O38" s="3"/>
      <c r="P38" s="4"/>
    </row>
    <row r="39" spans="1:16" ht="42" customHeight="1" thickBot="1">
      <c r="A39" s="54" t="s">
        <v>28</v>
      </c>
      <c r="B39" s="6" t="s">
        <v>29</v>
      </c>
      <c r="C39" s="3"/>
      <c r="D39" s="3"/>
      <c r="E39" s="3"/>
      <c r="F39" s="3"/>
      <c r="G39" s="3"/>
      <c r="H39" s="24"/>
      <c r="I39" s="31"/>
      <c r="J39" s="2"/>
      <c r="K39" s="3"/>
      <c r="L39" s="3"/>
      <c r="M39" s="3"/>
      <c r="N39" s="3"/>
      <c r="O39" s="3"/>
      <c r="P39" s="4"/>
    </row>
    <row r="40" spans="1:16" ht="18" customHeight="1">
      <c r="A40" s="70" t="s">
        <v>3</v>
      </c>
      <c r="B40" s="84" t="s">
        <v>3</v>
      </c>
      <c r="C40" s="83"/>
      <c r="D40" s="83"/>
      <c r="E40" s="83"/>
      <c r="F40" s="83"/>
      <c r="G40" s="83"/>
      <c r="H40" s="83"/>
      <c r="I40" s="42"/>
      <c r="J40" s="85" t="s">
        <v>4</v>
      </c>
      <c r="K40" s="83"/>
      <c r="L40" s="83"/>
      <c r="M40" s="83"/>
      <c r="N40" s="83"/>
      <c r="O40" s="83"/>
      <c r="P40" s="83"/>
    </row>
    <row r="41" spans="1:16" ht="18" customHeight="1">
      <c r="A41" s="55"/>
      <c r="B41" s="82" t="s">
        <v>3</v>
      </c>
      <c r="C41" s="83"/>
      <c r="D41" s="83"/>
      <c r="E41" s="83"/>
      <c r="F41" s="83"/>
      <c r="G41" s="83"/>
      <c r="H41" s="83"/>
      <c r="I41" s="53"/>
      <c r="J41" s="82" t="s">
        <v>4</v>
      </c>
      <c r="K41" s="83"/>
      <c r="L41" s="83"/>
      <c r="M41" s="83"/>
      <c r="N41" s="83"/>
      <c r="O41" s="83"/>
      <c r="P41" s="83"/>
    </row>
    <row r="42" spans="1:16" ht="42" customHeight="1" thickBot="1">
      <c r="A42" s="34" t="s">
        <v>30</v>
      </c>
      <c r="B42" s="48">
        <v>61</v>
      </c>
      <c r="C42" s="48">
        <v>122</v>
      </c>
      <c r="D42" s="48">
        <v>183</v>
      </c>
      <c r="E42" s="48">
        <v>244</v>
      </c>
      <c r="F42" s="48">
        <v>305</v>
      </c>
      <c r="G42" s="48">
        <v>366</v>
      </c>
      <c r="H42" s="48">
        <v>427</v>
      </c>
      <c r="I42" s="31"/>
      <c r="J42" s="34" t="s">
        <v>6</v>
      </c>
      <c r="K42" s="34" t="s">
        <v>7</v>
      </c>
      <c r="L42" s="34" t="s">
        <v>8</v>
      </c>
      <c r="M42" s="34" t="s">
        <v>9</v>
      </c>
      <c r="N42" s="34" t="s">
        <v>10</v>
      </c>
      <c r="O42" s="34" t="s">
        <v>11</v>
      </c>
      <c r="P42" s="34" t="s">
        <v>12</v>
      </c>
    </row>
    <row r="43" spans="1:16" ht="30" customHeight="1" thickBot="1">
      <c r="A43" s="57" t="s">
        <v>31</v>
      </c>
      <c r="B43" s="35">
        <v>75</v>
      </c>
      <c r="C43" s="35">
        <v>150</v>
      </c>
      <c r="D43" s="35">
        <v>225</v>
      </c>
      <c r="E43" s="35">
        <v>300</v>
      </c>
      <c r="F43" s="35">
        <v>375</v>
      </c>
      <c r="G43" s="35">
        <v>450</v>
      </c>
      <c r="H43" s="56">
        <v>525</v>
      </c>
      <c r="I43" s="31"/>
      <c r="J43" s="35">
        <v>61</v>
      </c>
      <c r="K43" s="35">
        <v>122</v>
      </c>
      <c r="L43" s="35">
        <v>183</v>
      </c>
      <c r="M43" s="35">
        <v>244</v>
      </c>
      <c r="N43" s="35">
        <v>305</v>
      </c>
      <c r="O43" s="35">
        <v>366</v>
      </c>
      <c r="P43" s="35">
        <v>427</v>
      </c>
    </row>
    <row r="44" spans="1:16" ht="18" customHeight="1">
      <c r="A44" s="2"/>
      <c r="B44" s="3"/>
      <c r="C44" s="3"/>
      <c r="D44" s="3"/>
      <c r="E44" s="3"/>
      <c r="F44" s="3"/>
      <c r="G44" s="3"/>
      <c r="H44" s="24"/>
      <c r="I44" s="31"/>
      <c r="J44" s="51">
        <v>75</v>
      </c>
      <c r="K44" s="51">
        <v>150</v>
      </c>
      <c r="L44" s="51">
        <v>225</v>
      </c>
      <c r="M44" s="51">
        <v>300</v>
      </c>
      <c r="N44" s="51">
        <v>375</v>
      </c>
      <c r="O44" s="51">
        <v>450</v>
      </c>
      <c r="P44" s="51">
        <v>525</v>
      </c>
    </row>
    <row r="45" spans="1:16" ht="18" customHeight="1">
      <c r="A45" s="70" t="s">
        <v>32</v>
      </c>
      <c r="B45" s="84" t="s">
        <v>3</v>
      </c>
      <c r="C45" s="83"/>
      <c r="D45" s="83"/>
      <c r="E45" s="83"/>
      <c r="F45" s="83"/>
      <c r="G45" s="83"/>
      <c r="H45" s="83"/>
      <c r="I45" s="33"/>
      <c r="J45" s="85" t="s">
        <v>4</v>
      </c>
      <c r="K45" s="83"/>
      <c r="L45" s="83"/>
      <c r="M45" s="83"/>
      <c r="N45" s="83"/>
      <c r="O45" s="83"/>
      <c r="P45" s="83"/>
    </row>
    <row r="46" spans="1:16" ht="18" customHeight="1">
      <c r="A46" s="2"/>
      <c r="B46" s="3"/>
      <c r="C46" s="3"/>
      <c r="D46" s="3"/>
      <c r="E46" s="3"/>
      <c r="F46" s="3"/>
      <c r="G46" s="3"/>
      <c r="H46" s="24"/>
      <c r="I46" s="31"/>
      <c r="J46" s="2"/>
      <c r="K46" s="3"/>
      <c r="L46" s="3"/>
      <c r="M46" s="3"/>
      <c r="N46" s="3"/>
      <c r="O46" s="3"/>
      <c r="P46" s="4"/>
    </row>
    <row r="47" spans="1:16" ht="30" customHeight="1">
      <c r="A47" s="34" t="s">
        <v>112</v>
      </c>
      <c r="B47" s="34" t="s">
        <v>34</v>
      </c>
      <c r="C47" s="34" t="s">
        <v>35</v>
      </c>
      <c r="D47" s="34" t="s">
        <v>36</v>
      </c>
      <c r="E47" s="34" t="s">
        <v>37</v>
      </c>
      <c r="F47" s="34" t="s">
        <v>38</v>
      </c>
      <c r="G47" s="34" t="s">
        <v>39</v>
      </c>
      <c r="H47" s="24"/>
      <c r="I47" s="53" t="s">
        <v>40</v>
      </c>
      <c r="J47" s="34" t="s">
        <v>34</v>
      </c>
      <c r="K47" s="34" t="s">
        <v>35</v>
      </c>
      <c r="L47" s="34" t="s">
        <v>36</v>
      </c>
      <c r="M47" s="34" t="s">
        <v>37</v>
      </c>
      <c r="N47" s="34" t="s">
        <v>38</v>
      </c>
      <c r="O47" s="34" t="s">
        <v>39</v>
      </c>
      <c r="P47" s="4"/>
    </row>
    <row r="48" spans="1:16" ht="18" customHeight="1">
      <c r="A48" s="17" t="s">
        <v>41</v>
      </c>
      <c r="B48" s="45">
        <v>70</v>
      </c>
      <c r="C48" s="45">
        <v>75</v>
      </c>
      <c r="D48" s="45">
        <v>80</v>
      </c>
      <c r="E48" s="45">
        <v>85</v>
      </c>
      <c r="F48" s="45">
        <v>90</v>
      </c>
      <c r="G48" s="45">
        <v>95</v>
      </c>
      <c r="H48" s="24"/>
      <c r="I48" s="31" t="s">
        <v>41</v>
      </c>
      <c r="J48" s="45">
        <v>80</v>
      </c>
      <c r="K48" s="45">
        <v>85</v>
      </c>
      <c r="L48" s="45">
        <v>90</v>
      </c>
      <c r="M48" s="45">
        <v>95</v>
      </c>
      <c r="N48" s="45">
        <v>100</v>
      </c>
      <c r="O48" s="45">
        <v>105</v>
      </c>
      <c r="P48" s="4"/>
    </row>
    <row r="49" spans="1:16" ht="18" customHeight="1">
      <c r="A49" s="6" t="s">
        <v>42</v>
      </c>
      <c r="B49" s="35">
        <v>140</v>
      </c>
      <c r="C49" s="35">
        <v>145</v>
      </c>
      <c r="D49" s="35">
        <v>150</v>
      </c>
      <c r="E49" s="35">
        <v>155</v>
      </c>
      <c r="F49" s="35">
        <v>160</v>
      </c>
      <c r="G49" s="35">
        <v>165</v>
      </c>
      <c r="H49" s="24"/>
      <c r="I49" s="31" t="s">
        <v>42</v>
      </c>
      <c r="J49" s="35">
        <v>160</v>
      </c>
      <c r="K49" s="35">
        <v>165</v>
      </c>
      <c r="L49" s="35">
        <v>170</v>
      </c>
      <c r="M49" s="35">
        <v>175</v>
      </c>
      <c r="N49" s="35">
        <v>180</v>
      </c>
      <c r="O49" s="35">
        <v>185</v>
      </c>
      <c r="P49" s="4"/>
    </row>
    <row r="50" spans="1:16" ht="18" customHeight="1">
      <c r="A50" s="17" t="s">
        <v>43</v>
      </c>
      <c r="B50" s="45">
        <v>210</v>
      </c>
      <c r="C50" s="45">
        <v>215</v>
      </c>
      <c r="D50" s="45">
        <v>220</v>
      </c>
      <c r="E50" s="45">
        <v>225</v>
      </c>
      <c r="F50" s="45">
        <v>230</v>
      </c>
      <c r="G50" s="45">
        <v>235</v>
      </c>
      <c r="H50" s="24"/>
      <c r="I50" s="31" t="s">
        <v>43</v>
      </c>
      <c r="J50" s="45">
        <v>240</v>
      </c>
      <c r="K50" s="45">
        <v>245</v>
      </c>
      <c r="L50" s="45">
        <v>250</v>
      </c>
      <c r="M50" s="45">
        <v>255</v>
      </c>
      <c r="N50" s="45">
        <v>260</v>
      </c>
      <c r="O50" s="45">
        <v>265</v>
      </c>
      <c r="P50" s="4"/>
    </row>
    <row r="51" spans="1:16" ht="18" customHeight="1">
      <c r="A51" s="6" t="s">
        <v>44</v>
      </c>
      <c r="B51" s="35">
        <v>280</v>
      </c>
      <c r="C51" s="35">
        <v>285</v>
      </c>
      <c r="D51" s="35">
        <v>290</v>
      </c>
      <c r="E51" s="35">
        <v>295</v>
      </c>
      <c r="F51" s="35">
        <v>300</v>
      </c>
      <c r="G51" s="35">
        <v>305</v>
      </c>
      <c r="H51" s="24"/>
      <c r="I51" s="31" t="s">
        <v>44</v>
      </c>
      <c r="J51" s="35">
        <v>320</v>
      </c>
      <c r="K51" s="35">
        <v>325</v>
      </c>
      <c r="L51" s="35">
        <v>330</v>
      </c>
      <c r="M51" s="35">
        <v>335</v>
      </c>
      <c r="N51" s="35">
        <v>340</v>
      </c>
      <c r="O51" s="35">
        <v>345</v>
      </c>
      <c r="P51" s="4"/>
    </row>
    <row r="52" spans="1:16" ht="18" customHeight="1">
      <c r="A52" s="17" t="s">
        <v>45</v>
      </c>
      <c r="B52" s="45">
        <v>350</v>
      </c>
      <c r="C52" s="45">
        <v>355</v>
      </c>
      <c r="D52" s="45">
        <v>360</v>
      </c>
      <c r="E52" s="45">
        <v>365</v>
      </c>
      <c r="F52" s="45">
        <v>370</v>
      </c>
      <c r="G52" s="45">
        <v>375</v>
      </c>
      <c r="H52" s="24"/>
      <c r="I52" s="31" t="s">
        <v>45</v>
      </c>
      <c r="J52" s="45">
        <v>400</v>
      </c>
      <c r="K52" s="45">
        <v>405</v>
      </c>
      <c r="L52" s="45">
        <v>410</v>
      </c>
      <c r="M52" s="45">
        <v>415</v>
      </c>
      <c r="N52" s="45">
        <v>420</v>
      </c>
      <c r="O52" s="45">
        <v>425</v>
      </c>
      <c r="P52" s="4"/>
    </row>
    <row r="53" spans="1:16" ht="18" customHeight="1" thickBot="1">
      <c r="A53" s="6" t="s">
        <v>46</v>
      </c>
      <c r="B53" s="35">
        <v>420</v>
      </c>
      <c r="C53" s="35">
        <v>425</v>
      </c>
      <c r="D53" s="35">
        <v>430</v>
      </c>
      <c r="E53" s="35">
        <v>435</v>
      </c>
      <c r="F53" s="35">
        <v>440</v>
      </c>
      <c r="G53" s="35">
        <v>445</v>
      </c>
      <c r="H53" s="24"/>
      <c r="I53" s="31" t="s">
        <v>46</v>
      </c>
      <c r="J53" s="35">
        <v>480</v>
      </c>
      <c r="K53" s="35">
        <v>485</v>
      </c>
      <c r="L53" s="35">
        <v>490</v>
      </c>
      <c r="M53" s="35">
        <v>495</v>
      </c>
      <c r="N53" s="35">
        <v>500</v>
      </c>
      <c r="O53" s="35">
        <v>505</v>
      </c>
      <c r="P53" s="4"/>
    </row>
    <row r="54" spans="1:16" ht="18" customHeight="1" thickBot="1">
      <c r="A54" s="54" t="s">
        <v>48</v>
      </c>
      <c r="B54" s="3"/>
      <c r="C54" s="3"/>
      <c r="D54" s="3"/>
      <c r="E54" s="3"/>
      <c r="F54" s="3"/>
      <c r="G54" s="3"/>
      <c r="H54" s="24"/>
      <c r="I54" s="31"/>
      <c r="J54" s="2"/>
      <c r="K54" s="3"/>
      <c r="L54" s="3"/>
      <c r="M54" s="3"/>
      <c r="N54" s="3"/>
      <c r="O54" s="3"/>
      <c r="P54" s="4"/>
    </row>
    <row r="55" spans="1:16" ht="18" customHeight="1">
      <c r="A55" s="2"/>
      <c r="B55" s="3"/>
      <c r="C55" s="3"/>
      <c r="D55" s="3"/>
      <c r="E55" s="3"/>
      <c r="F55" s="3"/>
      <c r="G55" s="3"/>
      <c r="H55" s="24"/>
      <c r="I55" s="31"/>
      <c r="J55" s="2"/>
      <c r="K55" s="3"/>
      <c r="L55" s="3"/>
      <c r="M55" s="3"/>
      <c r="N55" s="3"/>
      <c r="O55" s="3"/>
      <c r="P55" s="4"/>
    </row>
    <row r="56" spans="1:16" ht="18" customHeight="1">
      <c r="A56" s="70" t="s">
        <v>3</v>
      </c>
      <c r="B56" s="84" t="s">
        <v>3</v>
      </c>
      <c r="C56" s="83"/>
      <c r="D56" s="83"/>
      <c r="E56" s="83"/>
      <c r="F56" s="83"/>
      <c r="G56" s="83"/>
      <c r="H56" s="83"/>
      <c r="I56" s="33"/>
      <c r="J56" s="85" t="s">
        <v>4</v>
      </c>
      <c r="K56" s="83"/>
      <c r="L56" s="83"/>
      <c r="M56" s="83"/>
      <c r="N56" s="83"/>
      <c r="O56" s="83"/>
      <c r="P56" s="83"/>
    </row>
    <row r="57" spans="1:16" ht="18" customHeight="1">
      <c r="A57" s="34" t="s">
        <v>48</v>
      </c>
      <c r="B57" s="34" t="s">
        <v>6</v>
      </c>
      <c r="C57" s="34" t="s">
        <v>7</v>
      </c>
      <c r="D57" s="34" t="s">
        <v>8</v>
      </c>
      <c r="E57" s="34" t="s">
        <v>9</v>
      </c>
      <c r="F57" s="34" t="s">
        <v>10</v>
      </c>
      <c r="G57" s="34" t="s">
        <v>11</v>
      </c>
      <c r="H57" s="34" t="s">
        <v>12</v>
      </c>
      <c r="I57" s="31"/>
      <c r="J57" s="7"/>
      <c r="K57" s="4"/>
      <c r="L57" s="4"/>
      <c r="M57" s="4"/>
      <c r="N57" s="4"/>
      <c r="O57" s="4"/>
      <c r="P57" s="4"/>
    </row>
    <row r="58" spans="1:16" ht="18" customHeight="1">
      <c r="A58" s="17" t="s">
        <v>49</v>
      </c>
      <c r="B58" s="45">
        <v>69</v>
      </c>
      <c r="C58" s="20" t="e">
        <f>B56*2</f>
        <v>#VALUE!</v>
      </c>
      <c r="D58" s="20" t="e">
        <f>B56*3</f>
        <v>#VALUE!</v>
      </c>
      <c r="E58" s="20" t="e">
        <f>B56*4</f>
        <v>#VALUE!</v>
      </c>
      <c r="F58" s="20" t="e">
        <f>B56*5</f>
        <v>#VALUE!</v>
      </c>
      <c r="G58" s="20" t="e">
        <f>B56*6</f>
        <v>#VALUE!</v>
      </c>
      <c r="H58" s="26" t="e">
        <f>B56*7</f>
        <v>#VALUE!</v>
      </c>
      <c r="I58" s="58"/>
      <c r="J58" s="45">
        <v>69</v>
      </c>
      <c r="K58" s="20" t="e">
        <f>J56*2</f>
        <v>#VALUE!</v>
      </c>
      <c r="L58" s="20" t="e">
        <f>J56*3</f>
        <v>#VALUE!</v>
      </c>
      <c r="M58" s="20" t="e">
        <f>J56*4</f>
        <v>#VALUE!</v>
      </c>
      <c r="N58" s="20" t="e">
        <f>J56*5</f>
        <v>#VALUE!</v>
      </c>
      <c r="O58" s="20" t="e">
        <f>J56*6</f>
        <v>#VALUE!</v>
      </c>
      <c r="P58" s="20" t="e">
        <f>J56*7</f>
        <v>#VALUE!</v>
      </c>
    </row>
    <row r="59" spans="1:16" ht="30" customHeight="1">
      <c r="A59" s="6" t="s">
        <v>50</v>
      </c>
      <c r="B59" s="35">
        <v>61</v>
      </c>
      <c r="C59" s="21" t="e">
        <f>B57*2</f>
        <v>#VALUE!</v>
      </c>
      <c r="D59" s="21" t="e">
        <f>B57*3</f>
        <v>#VALUE!</v>
      </c>
      <c r="E59" s="21" t="e">
        <f>B57*4</f>
        <v>#VALUE!</v>
      </c>
      <c r="F59" s="21" t="e">
        <f>B57*5</f>
        <v>#VALUE!</v>
      </c>
      <c r="G59" s="21" t="e">
        <f>B57*6</f>
        <v>#VALUE!</v>
      </c>
      <c r="H59" s="28" t="e">
        <f>B57*7</f>
        <v>#VALUE!</v>
      </c>
      <c r="I59" s="31"/>
      <c r="J59" s="35">
        <v>61</v>
      </c>
      <c r="K59" s="21">
        <f>J57*2</f>
        <v>0</v>
      </c>
      <c r="L59" s="21">
        <f>J57*3</f>
        <v>0</v>
      </c>
      <c r="M59" s="21">
        <f>J57*4</f>
        <v>0</v>
      </c>
      <c r="N59" s="21">
        <f>J57*5</f>
        <v>0</v>
      </c>
      <c r="O59" s="21">
        <f>J57*6</f>
        <v>0</v>
      </c>
      <c r="P59" s="21">
        <f>J57*7</f>
        <v>0</v>
      </c>
    </row>
    <row r="60" spans="1:16" ht="18" customHeight="1" thickBot="1">
      <c r="A60" s="17" t="s">
        <v>51</v>
      </c>
      <c r="B60" s="45">
        <v>61</v>
      </c>
      <c r="C60" s="20">
        <f>B58*2</f>
        <v>138</v>
      </c>
      <c r="D60" s="20">
        <f>B58*3</f>
        <v>207</v>
      </c>
      <c r="E60" s="20">
        <f>B58*4</f>
        <v>276</v>
      </c>
      <c r="F60" s="20">
        <f>B58*5</f>
        <v>345</v>
      </c>
      <c r="G60" s="20">
        <f>B58*6</f>
        <v>414</v>
      </c>
      <c r="H60" s="26">
        <f>B58*7</f>
        <v>483</v>
      </c>
      <c r="I60" s="31"/>
      <c r="J60" s="45">
        <v>61</v>
      </c>
      <c r="K60" s="20">
        <f>J58*2</f>
        <v>138</v>
      </c>
      <c r="L60" s="20">
        <f>J58*3</f>
        <v>207</v>
      </c>
      <c r="M60" s="20">
        <f>J58*4</f>
        <v>276</v>
      </c>
      <c r="N60" s="20">
        <f>J58*5</f>
        <v>345</v>
      </c>
      <c r="O60" s="20">
        <f>J58*6</f>
        <v>414</v>
      </c>
      <c r="P60" s="20">
        <f>J58*7</f>
        <v>483</v>
      </c>
    </row>
    <row r="61" spans="1:16" ht="18" customHeight="1" thickBot="1">
      <c r="A61" s="6" t="s">
        <v>52</v>
      </c>
      <c r="B61" s="36">
        <v>5.5</v>
      </c>
      <c r="C61" s="22">
        <f>B59*2</f>
        <v>122</v>
      </c>
      <c r="D61" s="22">
        <f>B59*3</f>
        <v>183</v>
      </c>
      <c r="E61" s="22">
        <f>B59*4</f>
        <v>244</v>
      </c>
      <c r="F61" s="22">
        <f>B59*5</f>
        <v>305</v>
      </c>
      <c r="G61" s="22">
        <f>B59*6</f>
        <v>366</v>
      </c>
      <c r="H61" s="29">
        <f>B59*7</f>
        <v>427</v>
      </c>
      <c r="I61" s="31"/>
      <c r="J61" s="36">
        <v>5.5</v>
      </c>
      <c r="K61" s="22">
        <f>J59*2</f>
        <v>122</v>
      </c>
      <c r="L61" s="22">
        <f>J59*3</f>
        <v>183</v>
      </c>
      <c r="M61" s="22">
        <f>J59*4</f>
        <v>244</v>
      </c>
      <c r="N61" s="22">
        <f>J59*5</f>
        <v>305</v>
      </c>
      <c r="O61" s="22">
        <f>J59*6</f>
        <v>366</v>
      </c>
      <c r="P61" s="22">
        <f>J59*7</f>
        <v>427</v>
      </c>
    </row>
    <row r="62" spans="1:16" ht="18" customHeight="1" thickBot="1">
      <c r="A62" s="2"/>
      <c r="B62" s="9"/>
      <c r="C62" s="9"/>
      <c r="D62" s="9"/>
      <c r="E62" s="9"/>
      <c r="F62" s="9"/>
      <c r="G62" s="9"/>
      <c r="H62" s="25"/>
      <c r="I62" s="31"/>
      <c r="J62" s="10"/>
      <c r="K62" s="9"/>
      <c r="L62" s="9"/>
      <c r="M62" s="9"/>
      <c r="N62" s="9"/>
      <c r="O62" s="9"/>
      <c r="P62" s="9"/>
    </row>
    <row r="63" spans="1:16" ht="18" customHeight="1">
      <c r="A63" s="70" t="s">
        <v>3</v>
      </c>
      <c r="B63" s="84" t="s">
        <v>3</v>
      </c>
      <c r="C63" s="83"/>
      <c r="D63" s="83"/>
      <c r="E63" s="83"/>
      <c r="F63" s="83"/>
      <c r="G63" s="83"/>
      <c r="H63" s="83"/>
      <c r="I63" s="42"/>
      <c r="J63" s="87" t="s">
        <v>4</v>
      </c>
      <c r="K63" s="83"/>
      <c r="L63" s="83"/>
      <c r="M63" s="83"/>
      <c r="N63" s="83"/>
      <c r="O63" s="83"/>
      <c r="P63" s="83"/>
    </row>
    <row r="64" spans="1:16" ht="18" customHeight="1" thickBot="1">
      <c r="A64" s="34" t="s">
        <v>53</v>
      </c>
      <c r="B64" s="82" t="s">
        <v>3</v>
      </c>
      <c r="C64" s="83"/>
      <c r="D64" s="83"/>
      <c r="E64" s="83"/>
      <c r="F64" s="83"/>
      <c r="G64" s="83"/>
      <c r="H64" s="83"/>
      <c r="I64" s="53"/>
      <c r="J64" s="86" t="s">
        <v>4</v>
      </c>
      <c r="K64" s="83"/>
      <c r="L64" s="83"/>
      <c r="M64" s="83"/>
      <c r="N64" s="83"/>
      <c r="O64" s="83"/>
      <c r="P64" s="83"/>
    </row>
    <row r="65" spans="1:16" ht="18" customHeight="1">
      <c r="A65" s="5"/>
      <c r="B65" s="51">
        <v>22</v>
      </c>
      <c r="C65" s="51">
        <v>44</v>
      </c>
      <c r="D65" s="51">
        <v>66</v>
      </c>
      <c r="E65" s="51">
        <v>86</v>
      </c>
      <c r="F65" s="51">
        <v>102</v>
      </c>
      <c r="G65" s="51">
        <v>118</v>
      </c>
      <c r="H65" s="46">
        <v>125</v>
      </c>
      <c r="I65" s="31"/>
      <c r="J65" s="51">
        <v>22</v>
      </c>
      <c r="K65" s="51">
        <v>44</v>
      </c>
      <c r="L65" s="51">
        <v>66</v>
      </c>
      <c r="M65" s="51">
        <v>86</v>
      </c>
      <c r="N65" s="51">
        <v>102</v>
      </c>
      <c r="O65" s="51">
        <v>118</v>
      </c>
      <c r="P65" s="51">
        <v>125</v>
      </c>
    </row>
    <row r="66" spans="1:16" ht="18" customHeight="1">
      <c r="A66" s="2"/>
      <c r="B66" s="3"/>
      <c r="C66" s="3"/>
      <c r="D66" s="3"/>
      <c r="E66" s="3"/>
      <c r="F66" s="3"/>
      <c r="G66" s="3"/>
      <c r="H66" s="24"/>
      <c r="I66" s="31"/>
      <c r="J66" s="2"/>
      <c r="K66" s="3"/>
      <c r="L66" s="3"/>
      <c r="M66" s="3"/>
      <c r="N66" s="3"/>
      <c r="O66" s="3"/>
      <c r="P66" s="4"/>
    </row>
    <row r="67" spans="1:16" ht="42" customHeight="1">
      <c r="A67" s="11"/>
      <c r="B67" s="1" t="s">
        <v>54</v>
      </c>
      <c r="C67" s="12"/>
      <c r="D67" s="12"/>
      <c r="E67" s="12"/>
      <c r="F67" s="12"/>
      <c r="G67" s="12"/>
      <c r="H67" s="24"/>
      <c r="I67" s="31"/>
      <c r="J67" s="2"/>
      <c r="K67" s="3"/>
      <c r="L67" s="3"/>
      <c r="M67" s="3"/>
      <c r="N67" s="3"/>
      <c r="O67" s="3"/>
      <c r="P67" s="4"/>
    </row>
    <row r="68" spans="1:16" ht="42" customHeight="1">
      <c r="A68" s="59" t="s">
        <v>55</v>
      </c>
      <c r="B68" s="15" t="s">
        <v>56</v>
      </c>
      <c r="C68" s="14"/>
      <c r="D68" s="14"/>
      <c r="E68" s="14"/>
      <c r="F68" s="14"/>
      <c r="G68" s="14"/>
      <c r="H68" s="26"/>
      <c r="I68" s="31"/>
      <c r="J68" s="2"/>
      <c r="K68" s="3"/>
      <c r="L68" s="3"/>
      <c r="M68" s="3"/>
      <c r="N68" s="3"/>
      <c r="O68" s="3"/>
      <c r="P68" s="4"/>
    </row>
    <row r="69" spans="1:16" ht="42" customHeight="1" thickBot="1">
      <c r="A69" s="59" t="s">
        <v>57</v>
      </c>
      <c r="B69" s="13" t="s">
        <v>56</v>
      </c>
      <c r="C69" s="14"/>
      <c r="D69" s="14"/>
      <c r="E69" s="14"/>
      <c r="F69" s="14"/>
      <c r="G69" s="14"/>
      <c r="H69" s="26"/>
      <c r="I69" s="31"/>
      <c r="J69" s="2"/>
      <c r="K69" s="3"/>
      <c r="L69" s="3"/>
      <c r="M69" s="3"/>
      <c r="N69" s="3"/>
      <c r="O69" s="3"/>
      <c r="P69" s="4"/>
    </row>
    <row r="70" spans="1:16" ht="42" customHeight="1">
      <c r="A70" s="59" t="s">
        <v>58</v>
      </c>
      <c r="B70" s="15" t="s">
        <v>56</v>
      </c>
      <c r="C70" s="14"/>
      <c r="D70" s="14"/>
      <c r="E70" s="14"/>
      <c r="F70" s="14"/>
      <c r="G70" s="14"/>
      <c r="H70" s="26"/>
      <c r="I70" s="31"/>
      <c r="J70" s="2"/>
      <c r="K70" s="3"/>
      <c r="L70" s="3"/>
      <c r="M70" s="3"/>
      <c r="N70" s="3"/>
      <c r="O70" s="3"/>
      <c r="P70" s="4"/>
    </row>
    <row r="71" spans="1:16" ht="42" customHeight="1">
      <c r="A71" s="59" t="s">
        <v>59</v>
      </c>
      <c r="B71" s="13" t="s">
        <v>60</v>
      </c>
      <c r="C71" s="16"/>
      <c r="D71" s="16"/>
      <c r="E71" s="16"/>
      <c r="F71" s="16"/>
      <c r="G71" s="16"/>
      <c r="H71" s="26"/>
      <c r="I71" s="31"/>
      <c r="J71" s="2"/>
      <c r="K71" s="3"/>
      <c r="L71" s="3"/>
      <c r="M71" s="3"/>
      <c r="N71" s="3"/>
      <c r="O71" s="3"/>
      <c r="P71" s="4"/>
    </row>
    <row r="72" spans="1:16" ht="18" customHeight="1">
      <c r="A72" s="2"/>
      <c r="B72" s="3"/>
      <c r="C72" s="3"/>
      <c r="D72" s="3"/>
      <c r="E72" s="3"/>
      <c r="F72" s="3"/>
      <c r="G72" s="3"/>
      <c r="H72" s="24"/>
      <c r="I72" s="31"/>
      <c r="J72" s="2"/>
      <c r="K72" s="3"/>
      <c r="L72" s="3"/>
      <c r="M72" s="3"/>
      <c r="N72" s="3"/>
      <c r="O72" s="3"/>
      <c r="P72" s="4"/>
    </row>
    <row r="73" spans="1:16" ht="30" customHeight="1">
      <c r="A73" s="60" t="s">
        <v>61</v>
      </c>
      <c r="B73" s="4"/>
      <c r="C73" s="4"/>
      <c r="D73" s="4"/>
      <c r="E73" s="4"/>
      <c r="F73" s="4"/>
      <c r="G73" s="4"/>
      <c r="H73" s="27"/>
      <c r="I73" s="61"/>
      <c r="J73" s="7"/>
      <c r="K73" s="4"/>
      <c r="L73" s="4"/>
      <c r="M73" s="4"/>
      <c r="N73" s="4"/>
      <c r="O73" s="4"/>
      <c r="P73" s="4"/>
    </row>
    <row r="74" spans="1:16" ht="18" customHeight="1">
      <c r="A74" s="17" t="s">
        <v>62</v>
      </c>
      <c r="B74" s="3"/>
      <c r="C74" s="4"/>
      <c r="D74" s="4"/>
      <c r="E74" s="3"/>
      <c r="F74" s="3"/>
      <c r="G74" s="4"/>
      <c r="H74" s="27"/>
      <c r="I74" s="31"/>
      <c r="J74" s="7"/>
      <c r="K74" s="4"/>
      <c r="L74" s="4"/>
      <c r="M74" s="4"/>
      <c r="N74" s="4"/>
      <c r="O74" s="4"/>
      <c r="P74" s="4"/>
    </row>
    <row r="75" spans="1:16" ht="18" customHeight="1">
      <c r="A75" s="2"/>
      <c r="B75" s="3"/>
      <c r="C75" s="4"/>
      <c r="D75" s="4"/>
      <c r="E75" s="3"/>
      <c r="F75" s="1" t="s">
        <v>63</v>
      </c>
      <c r="G75" s="3"/>
      <c r="H75" s="27"/>
      <c r="I75" s="31"/>
      <c r="J75" s="7"/>
      <c r="K75" s="4"/>
      <c r="L75" s="4"/>
      <c r="M75" s="4"/>
      <c r="N75" s="4"/>
      <c r="O75" s="4"/>
      <c r="P75" s="4"/>
    </row>
    <row r="76" spans="1:16" ht="42" customHeight="1">
      <c r="A76" s="17" t="s">
        <v>64</v>
      </c>
      <c r="B76" s="3"/>
      <c r="C76" s="4"/>
      <c r="D76" s="4"/>
      <c r="E76" s="3"/>
      <c r="F76" s="3"/>
      <c r="G76" s="3"/>
      <c r="H76" s="27"/>
      <c r="I76" s="31"/>
      <c r="J76" s="7"/>
      <c r="K76" s="4"/>
      <c r="L76" s="4"/>
      <c r="M76" s="4"/>
      <c r="N76" s="4"/>
      <c r="O76" s="4"/>
      <c r="P76" s="4"/>
    </row>
    <row r="77" spans="1:16" ht="42" customHeight="1">
      <c r="A77" s="6" t="s">
        <v>65</v>
      </c>
      <c r="B77" s="3"/>
      <c r="C77" s="4"/>
      <c r="D77" s="4"/>
      <c r="E77" s="3"/>
      <c r="F77" s="6" t="s">
        <v>66</v>
      </c>
      <c r="G77" s="6" t="s">
        <v>67</v>
      </c>
      <c r="H77" s="27"/>
      <c r="I77" s="31"/>
      <c r="J77" s="7"/>
      <c r="K77" s="4"/>
      <c r="L77" s="4"/>
      <c r="M77" s="4"/>
      <c r="N77" s="4"/>
      <c r="O77" s="4"/>
      <c r="P77" s="4"/>
    </row>
    <row r="78" spans="1:16" ht="42" customHeight="1">
      <c r="A78" s="17" t="s">
        <v>68</v>
      </c>
      <c r="B78" s="3"/>
      <c r="C78" s="4"/>
      <c r="D78" s="4"/>
      <c r="E78" s="3"/>
      <c r="F78" s="17" t="s">
        <v>69</v>
      </c>
      <c r="G78" s="17" t="s">
        <v>70</v>
      </c>
      <c r="H78" s="27"/>
      <c r="I78" s="31"/>
      <c r="J78" s="7"/>
      <c r="K78" s="4"/>
      <c r="L78" s="4"/>
      <c r="M78" s="4"/>
      <c r="N78" s="4"/>
      <c r="O78" s="4"/>
      <c r="P78" s="4"/>
    </row>
    <row r="79" spans="1:16" ht="42" customHeight="1">
      <c r="A79" s="6" t="s">
        <v>71</v>
      </c>
      <c r="B79" s="3"/>
      <c r="C79" s="4"/>
      <c r="D79" s="4"/>
      <c r="E79" s="3"/>
      <c r="F79" s="6" t="s">
        <v>72</v>
      </c>
      <c r="G79" s="6" t="s">
        <v>73</v>
      </c>
      <c r="H79" s="27"/>
      <c r="I79" s="31"/>
      <c r="J79" s="7"/>
      <c r="K79" s="4"/>
      <c r="L79" s="4"/>
      <c r="M79" s="4"/>
      <c r="N79" s="4"/>
      <c r="O79" s="4"/>
      <c r="P79" s="4"/>
    </row>
    <row r="80" spans="1:16" ht="18" customHeight="1">
      <c r="A80" s="2"/>
      <c r="B80" s="3"/>
      <c r="C80" s="4"/>
      <c r="D80" s="4"/>
      <c r="E80" s="3"/>
      <c r="F80" s="1" t="s">
        <v>74</v>
      </c>
      <c r="G80" s="1" t="s">
        <v>75</v>
      </c>
      <c r="H80" s="27"/>
      <c r="I80" s="31"/>
      <c r="J80" s="7"/>
      <c r="K80" s="4"/>
      <c r="L80" s="4"/>
      <c r="M80" s="4"/>
      <c r="N80" s="4"/>
      <c r="O80" s="4"/>
      <c r="P80" s="4"/>
    </row>
    <row r="81" spans="1:16" ht="18" customHeight="1">
      <c r="A81" s="2"/>
      <c r="B81" s="3"/>
      <c r="C81" s="3"/>
      <c r="D81" s="3"/>
      <c r="E81" s="3"/>
      <c r="F81" s="3"/>
      <c r="G81" s="3"/>
      <c r="H81" s="24"/>
      <c r="I81" s="31"/>
      <c r="J81" s="7"/>
      <c r="K81" s="4"/>
      <c r="L81" s="4"/>
      <c r="M81" s="4"/>
      <c r="N81" s="4"/>
      <c r="O81" s="4"/>
      <c r="P81" s="4"/>
    </row>
    <row r="82" spans="1:16" ht="18" customHeight="1">
      <c r="A82" s="17" t="s">
        <v>76</v>
      </c>
      <c r="B82" s="3"/>
      <c r="C82" s="3"/>
      <c r="D82" s="3"/>
      <c r="E82" s="3"/>
      <c r="F82" s="3"/>
      <c r="G82" s="3"/>
      <c r="H82" s="24"/>
      <c r="I82" s="31"/>
      <c r="J82" s="7"/>
      <c r="K82" s="4"/>
      <c r="L82" s="4"/>
      <c r="M82" s="4"/>
      <c r="N82" s="4"/>
      <c r="O82" s="4"/>
      <c r="P82" s="4"/>
    </row>
    <row r="83" spans="1:16" ht="18" customHeight="1">
      <c r="A83" s="2"/>
      <c r="B83" s="3"/>
      <c r="C83" s="3"/>
      <c r="D83" s="3"/>
      <c r="E83" s="3"/>
      <c r="F83" s="3"/>
      <c r="G83" s="3"/>
      <c r="H83" s="24"/>
      <c r="I83" s="31"/>
      <c r="J83" s="7"/>
      <c r="K83" s="4"/>
      <c r="L83" s="4"/>
      <c r="M83" s="4"/>
      <c r="N83" s="4"/>
      <c r="O83" s="4"/>
      <c r="P83" s="4"/>
    </row>
    <row r="84" spans="1:16" ht="42" customHeight="1">
      <c r="A84" s="17" t="s">
        <v>77</v>
      </c>
      <c r="B84" s="3"/>
      <c r="C84" s="3"/>
      <c r="D84" s="3"/>
      <c r="E84" s="3"/>
      <c r="F84" s="3"/>
      <c r="G84" s="3"/>
      <c r="H84" s="24"/>
      <c r="I84" s="31"/>
      <c r="J84" s="7"/>
      <c r="K84" s="4"/>
      <c r="L84" s="4"/>
      <c r="M84" s="4"/>
      <c r="N84" s="4"/>
      <c r="O84" s="4"/>
      <c r="P84" s="4"/>
    </row>
    <row r="85" spans="1:16" ht="42" customHeight="1">
      <c r="A85" s="6" t="s">
        <v>78</v>
      </c>
      <c r="B85" s="3"/>
      <c r="C85" s="3"/>
      <c r="D85" s="3"/>
      <c r="E85" s="3"/>
      <c r="F85" s="3"/>
      <c r="G85" s="3"/>
      <c r="H85" s="24"/>
      <c r="I85" s="31"/>
      <c r="J85" s="7"/>
      <c r="K85" s="4"/>
      <c r="L85" s="4"/>
      <c r="M85" s="4"/>
      <c r="N85" s="4"/>
      <c r="O85" s="4"/>
      <c r="P85" s="4"/>
    </row>
    <row r="86" spans="1:16" ht="42" customHeight="1">
      <c r="A86" s="17" t="s">
        <v>79</v>
      </c>
      <c r="B86" s="3"/>
      <c r="C86" s="3"/>
      <c r="D86" s="3"/>
      <c r="E86" s="3"/>
      <c r="F86" s="3"/>
      <c r="G86" s="3"/>
      <c r="H86" s="24"/>
      <c r="I86" s="31"/>
      <c r="J86" s="7"/>
      <c r="K86" s="4"/>
      <c r="L86" s="4"/>
      <c r="M86" s="4"/>
      <c r="N86" s="4"/>
      <c r="O86" s="4"/>
      <c r="P86" s="4"/>
    </row>
    <row r="87" spans="1:16" ht="42" customHeight="1">
      <c r="A87" s="6" t="s">
        <v>80</v>
      </c>
      <c r="B87" s="3"/>
      <c r="C87" s="3"/>
      <c r="D87" s="3"/>
      <c r="E87" s="3"/>
      <c r="F87" s="3"/>
      <c r="G87" s="3"/>
      <c r="H87" s="24"/>
      <c r="I87" s="31"/>
      <c r="J87" s="7"/>
      <c r="K87" s="4"/>
      <c r="L87" s="4"/>
      <c r="M87" s="4"/>
      <c r="N87" s="4"/>
      <c r="O87" s="4"/>
      <c r="P87" s="4"/>
    </row>
  </sheetData>
  <mergeCells count="31">
    <mergeCell ref="A3:P3"/>
    <mergeCell ref="J7:P7"/>
    <mergeCell ref="B34:H34"/>
    <mergeCell ref="J63:P63"/>
    <mergeCell ref="J64:P64"/>
    <mergeCell ref="J29:P29"/>
    <mergeCell ref="B7:H7"/>
    <mergeCell ref="J14:P14"/>
    <mergeCell ref="B56:H56"/>
    <mergeCell ref="B21:H21"/>
    <mergeCell ref="J40:P40"/>
    <mergeCell ref="J30:P30"/>
    <mergeCell ref="J34:P34"/>
    <mergeCell ref="J15:P15"/>
    <mergeCell ref="B14:H14"/>
    <mergeCell ref="J45:P45"/>
    <mergeCell ref="J26:P26"/>
    <mergeCell ref="J35:P35"/>
    <mergeCell ref="B29:H29"/>
    <mergeCell ref="B64:H64"/>
    <mergeCell ref="B15:H15"/>
    <mergeCell ref="B45:H45"/>
    <mergeCell ref="B63:H63"/>
    <mergeCell ref="B26:H26"/>
    <mergeCell ref="B41:H41"/>
    <mergeCell ref="B35:H35"/>
    <mergeCell ref="J41:P41"/>
    <mergeCell ref="B40:H40"/>
    <mergeCell ref="J56:P56"/>
    <mergeCell ref="J21:P21"/>
    <mergeCell ref="B30:H30"/>
  </mergeCells>
  <pageMargins left="0.3" right="0.3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O14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baseColWidth="10" defaultRowHeight="14.4"/>
  <cols>
    <col min="1" max="1" width="38" bestFit="1" customWidth="1"/>
    <col min="2" max="2" width="14" customWidth="1"/>
    <col min="3" max="7" width="12" customWidth="1"/>
    <col min="8" max="8" width="10" customWidth="1"/>
    <col min="9" max="9" width="21.6640625" bestFit="1" customWidth="1"/>
    <col min="10" max="10" width="14" customWidth="1"/>
    <col min="11" max="15" width="12" customWidth="1"/>
  </cols>
  <sheetData>
    <row r="1" spans="1:15" ht="18" customHeight="1">
      <c r="I1" s="30"/>
    </row>
    <row r="2" spans="1:15" ht="18" customHeight="1">
      <c r="H2" s="23"/>
      <c r="I2" s="30"/>
    </row>
    <row r="3" spans="1:15" ht="30" customHeight="1" thickBot="1">
      <c r="A3" s="96" t="s">
        <v>113</v>
      </c>
      <c r="B3" s="96"/>
      <c r="C3" s="96"/>
      <c r="D3" s="96"/>
      <c r="E3" s="96"/>
      <c r="F3" s="96"/>
      <c r="G3" s="96"/>
      <c r="H3" s="96"/>
      <c r="I3" s="97"/>
      <c r="J3" s="96"/>
      <c r="K3" s="96"/>
      <c r="L3" s="96"/>
      <c r="M3" s="96"/>
      <c r="N3" s="96"/>
      <c r="O3" s="96"/>
    </row>
    <row r="4" spans="1:15" ht="18" customHeight="1" thickBot="1">
      <c r="A4" s="7"/>
      <c r="B4" s="4"/>
      <c r="C4" s="4"/>
      <c r="D4" s="4"/>
      <c r="E4" s="4"/>
      <c r="F4" s="4"/>
      <c r="G4" s="4"/>
      <c r="H4" s="27"/>
      <c r="I4" s="61"/>
      <c r="J4" s="7"/>
      <c r="K4" s="4"/>
      <c r="L4" s="4"/>
      <c r="M4" s="4"/>
      <c r="N4" s="4"/>
      <c r="O4" s="4"/>
    </row>
    <row r="5" spans="1:15" ht="18" customHeight="1">
      <c r="A5" s="7"/>
      <c r="B5" s="4"/>
      <c r="C5" s="4"/>
      <c r="D5" s="4"/>
      <c r="E5" s="4"/>
      <c r="F5" s="4"/>
      <c r="G5" s="4"/>
      <c r="H5" s="27"/>
      <c r="I5" s="61"/>
      <c r="J5" s="7"/>
      <c r="K5" s="4"/>
      <c r="L5" s="4"/>
      <c r="M5" s="4"/>
      <c r="N5" s="4"/>
      <c r="O5" s="4"/>
    </row>
    <row r="6" spans="1:15" ht="18" customHeight="1">
      <c r="A6" s="75" t="s">
        <v>32</v>
      </c>
      <c r="B6" s="84" t="s">
        <v>3</v>
      </c>
      <c r="C6" s="83"/>
      <c r="D6" s="83"/>
      <c r="E6" s="83"/>
      <c r="F6" s="83"/>
      <c r="G6" s="83"/>
      <c r="H6" s="83"/>
      <c r="I6" s="33" t="s">
        <v>4</v>
      </c>
      <c r="J6" s="85" t="s">
        <v>4</v>
      </c>
      <c r="K6" s="83"/>
      <c r="L6" s="83"/>
      <c r="M6" s="83"/>
      <c r="N6" s="83"/>
      <c r="O6" s="83"/>
    </row>
    <row r="7" spans="1:15" ht="18" customHeight="1">
      <c r="A7" s="2"/>
      <c r="B7" s="3"/>
      <c r="C7" s="3"/>
      <c r="D7" s="3"/>
      <c r="E7" s="3"/>
      <c r="F7" s="3"/>
      <c r="G7" s="3"/>
      <c r="H7" s="24"/>
      <c r="I7" s="31"/>
      <c r="J7" s="2"/>
      <c r="K7" s="3"/>
      <c r="L7" s="3"/>
      <c r="M7" s="3"/>
      <c r="N7" s="3"/>
      <c r="O7" s="3"/>
    </row>
    <row r="8" spans="1:15" ht="30" customHeight="1">
      <c r="A8" s="34" t="s">
        <v>40</v>
      </c>
      <c r="B8" s="34" t="s">
        <v>34</v>
      </c>
      <c r="C8" s="34" t="s">
        <v>35</v>
      </c>
      <c r="D8" s="34" t="s">
        <v>36</v>
      </c>
      <c r="E8" s="34" t="s">
        <v>37</v>
      </c>
      <c r="F8" s="34" t="s">
        <v>38</v>
      </c>
      <c r="G8" s="34" t="s">
        <v>39</v>
      </c>
      <c r="H8" s="24"/>
      <c r="I8" s="53" t="s">
        <v>40</v>
      </c>
      <c r="J8" s="34" t="s">
        <v>34</v>
      </c>
      <c r="K8" s="34" t="s">
        <v>35</v>
      </c>
      <c r="L8" s="34" t="s">
        <v>36</v>
      </c>
      <c r="M8" s="34" t="s">
        <v>37</v>
      </c>
      <c r="N8" s="34" t="s">
        <v>38</v>
      </c>
      <c r="O8" s="34" t="s">
        <v>39</v>
      </c>
    </row>
    <row r="9" spans="1:15" ht="18" customHeight="1">
      <c r="A9" s="6" t="s">
        <v>41</v>
      </c>
      <c r="B9" s="35">
        <v>70</v>
      </c>
      <c r="C9" s="35">
        <v>75</v>
      </c>
      <c r="D9" s="35">
        <v>80</v>
      </c>
      <c r="E9" s="35">
        <v>85</v>
      </c>
      <c r="F9" s="35">
        <v>90</v>
      </c>
      <c r="G9" s="35">
        <v>95</v>
      </c>
      <c r="H9" s="24"/>
      <c r="I9" s="31" t="s">
        <v>41</v>
      </c>
      <c r="J9" s="35">
        <v>80</v>
      </c>
      <c r="K9" s="35">
        <v>85</v>
      </c>
      <c r="L9" s="35">
        <v>90</v>
      </c>
      <c r="M9" s="35">
        <v>95</v>
      </c>
      <c r="N9" s="35">
        <v>100</v>
      </c>
      <c r="O9" s="35">
        <v>105</v>
      </c>
    </row>
    <row r="10" spans="1:15" ht="18" customHeight="1">
      <c r="A10" s="17" t="s">
        <v>42</v>
      </c>
      <c r="B10" s="45">
        <v>140</v>
      </c>
      <c r="C10" s="45">
        <v>145</v>
      </c>
      <c r="D10" s="45">
        <v>150</v>
      </c>
      <c r="E10" s="45">
        <v>155</v>
      </c>
      <c r="F10" s="45">
        <v>160</v>
      </c>
      <c r="G10" s="45">
        <v>165</v>
      </c>
      <c r="H10" s="24"/>
      <c r="I10" s="31" t="s">
        <v>42</v>
      </c>
      <c r="J10" s="45">
        <v>160</v>
      </c>
      <c r="K10" s="45">
        <v>165</v>
      </c>
      <c r="L10" s="45">
        <v>170</v>
      </c>
      <c r="M10" s="45">
        <v>175</v>
      </c>
      <c r="N10" s="45">
        <v>180</v>
      </c>
      <c r="O10" s="45">
        <v>185</v>
      </c>
    </row>
    <row r="11" spans="1:15" ht="18" customHeight="1">
      <c r="A11" s="6" t="s">
        <v>43</v>
      </c>
      <c r="B11" s="35">
        <v>210</v>
      </c>
      <c r="C11" s="35">
        <v>215</v>
      </c>
      <c r="D11" s="35">
        <v>220</v>
      </c>
      <c r="E11" s="35">
        <v>225</v>
      </c>
      <c r="F11" s="35">
        <v>230</v>
      </c>
      <c r="G11" s="35">
        <v>235</v>
      </c>
      <c r="H11" s="24"/>
      <c r="I11" s="31" t="s">
        <v>43</v>
      </c>
      <c r="J11" s="35">
        <v>240</v>
      </c>
      <c r="K11" s="35">
        <v>245</v>
      </c>
      <c r="L11" s="35">
        <v>250</v>
      </c>
      <c r="M11" s="35">
        <v>255</v>
      </c>
      <c r="N11" s="35">
        <v>260</v>
      </c>
      <c r="O11" s="35">
        <v>265</v>
      </c>
    </row>
    <row r="12" spans="1:15" ht="18" customHeight="1">
      <c r="A12" s="17" t="s">
        <v>44</v>
      </c>
      <c r="B12" s="45">
        <v>280</v>
      </c>
      <c r="C12" s="45">
        <v>285</v>
      </c>
      <c r="D12" s="45">
        <v>290</v>
      </c>
      <c r="E12" s="45">
        <v>295</v>
      </c>
      <c r="F12" s="45">
        <v>300</v>
      </c>
      <c r="G12" s="45">
        <v>305</v>
      </c>
      <c r="H12" s="24"/>
      <c r="I12" s="31" t="s">
        <v>44</v>
      </c>
      <c r="J12" s="45">
        <v>320</v>
      </c>
      <c r="K12" s="45">
        <v>325</v>
      </c>
      <c r="L12" s="45">
        <v>330</v>
      </c>
      <c r="M12" s="45">
        <v>335</v>
      </c>
      <c r="N12" s="45">
        <v>340</v>
      </c>
      <c r="O12" s="45">
        <v>345</v>
      </c>
    </row>
    <row r="13" spans="1:15" ht="18" customHeight="1">
      <c r="A13" s="6" t="s">
        <v>45</v>
      </c>
      <c r="B13" s="35">
        <v>350</v>
      </c>
      <c r="C13" s="35">
        <v>355</v>
      </c>
      <c r="D13" s="35">
        <v>360</v>
      </c>
      <c r="E13" s="35">
        <v>365</v>
      </c>
      <c r="F13" s="35">
        <v>370</v>
      </c>
      <c r="G13" s="35">
        <v>375</v>
      </c>
      <c r="H13" s="24"/>
      <c r="I13" s="31" t="s">
        <v>45</v>
      </c>
      <c r="J13" s="35">
        <v>400</v>
      </c>
      <c r="K13" s="35">
        <v>405</v>
      </c>
      <c r="L13" s="35">
        <v>410</v>
      </c>
      <c r="M13" s="35">
        <v>415</v>
      </c>
      <c r="N13" s="35">
        <v>420</v>
      </c>
      <c r="O13" s="35">
        <v>425</v>
      </c>
    </row>
    <row r="14" spans="1:15" ht="18" customHeight="1">
      <c r="A14" s="17" t="s">
        <v>46</v>
      </c>
      <c r="B14" s="45">
        <v>420</v>
      </c>
      <c r="C14" s="45">
        <v>425</v>
      </c>
      <c r="D14" s="45">
        <v>430</v>
      </c>
      <c r="E14" s="45">
        <v>435</v>
      </c>
      <c r="F14" s="45">
        <v>440</v>
      </c>
      <c r="G14" s="45">
        <v>445</v>
      </c>
      <c r="H14" s="24"/>
      <c r="I14" s="31" t="s">
        <v>46</v>
      </c>
      <c r="J14" s="45">
        <v>480</v>
      </c>
      <c r="K14" s="45">
        <v>485</v>
      </c>
      <c r="L14" s="45">
        <v>490</v>
      </c>
      <c r="M14" s="45">
        <v>495</v>
      </c>
      <c r="N14" s="45">
        <v>500</v>
      </c>
      <c r="O14" s="45">
        <v>505</v>
      </c>
    </row>
  </sheetData>
  <mergeCells count="3">
    <mergeCell ref="B6:H6"/>
    <mergeCell ref="A3:O3"/>
    <mergeCell ref="J6:O6"/>
  </mergeCells>
  <pageMargins left="0.3" right="0.3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P4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J43" sqref="J43:P44"/>
    </sheetView>
  </sheetViews>
  <sheetFormatPr baseColWidth="10" defaultRowHeight="14.4"/>
  <cols>
    <col min="1" max="1" width="38" customWidth="1"/>
    <col min="2" max="2" width="14" customWidth="1"/>
    <col min="3" max="7" width="12" customWidth="1"/>
    <col min="8" max="8" width="10" customWidth="1"/>
    <col min="9" max="9" width="21.6640625" bestFit="1" customWidth="1"/>
    <col min="10" max="10" width="14" customWidth="1"/>
    <col min="11" max="15" width="12" customWidth="1"/>
    <col min="16" max="16" width="10" customWidth="1"/>
  </cols>
  <sheetData>
    <row r="1" spans="1:16" ht="18" customHeight="1">
      <c r="I1" s="30"/>
    </row>
    <row r="2" spans="1:16" ht="18" customHeight="1">
      <c r="H2" s="23"/>
      <c r="I2" s="30"/>
    </row>
    <row r="3" spans="1:16" ht="30" customHeight="1">
      <c r="A3" s="98" t="s">
        <v>114</v>
      </c>
      <c r="B3" s="99"/>
      <c r="C3" s="99"/>
      <c r="D3" s="99"/>
      <c r="E3" s="99"/>
      <c r="F3" s="99"/>
      <c r="G3" s="99"/>
      <c r="H3" s="99"/>
      <c r="I3" s="100"/>
      <c r="J3" s="99"/>
      <c r="K3" s="99"/>
      <c r="L3" s="99"/>
      <c r="M3" s="99"/>
      <c r="N3" s="99"/>
      <c r="O3" s="99"/>
      <c r="P3" s="101"/>
    </row>
    <row r="4" spans="1:16" ht="18" customHeight="1" thickBot="1">
      <c r="A4" s="2"/>
      <c r="B4" s="3"/>
      <c r="C4" s="3"/>
      <c r="D4" s="3"/>
      <c r="E4" s="3"/>
      <c r="F4" s="3"/>
      <c r="G4" s="3"/>
      <c r="H4" s="24"/>
      <c r="I4" s="31"/>
      <c r="J4" s="2"/>
      <c r="K4" s="3"/>
      <c r="L4" s="3"/>
      <c r="M4" s="3"/>
      <c r="N4" s="3"/>
      <c r="O4" s="3"/>
      <c r="P4" s="4"/>
    </row>
    <row r="5" spans="1:16" ht="18" customHeight="1" thickBot="1">
      <c r="A5" s="2"/>
      <c r="B5" s="3"/>
      <c r="C5" s="3"/>
      <c r="D5" s="3"/>
      <c r="E5" s="3"/>
      <c r="F5" s="3"/>
      <c r="G5" s="3"/>
      <c r="H5" s="24"/>
      <c r="I5" s="31"/>
      <c r="J5" s="2"/>
      <c r="K5" s="3"/>
      <c r="L5" s="3"/>
      <c r="M5" s="3"/>
      <c r="N5" s="3"/>
      <c r="O5" s="3"/>
      <c r="P5" s="4"/>
    </row>
    <row r="6" spans="1:16" ht="18" customHeight="1">
      <c r="A6" s="76" t="s">
        <v>1</v>
      </c>
      <c r="B6" s="3"/>
      <c r="C6" s="3"/>
      <c r="D6" s="3"/>
      <c r="E6" s="3"/>
      <c r="F6" s="3"/>
      <c r="G6" s="3"/>
      <c r="H6" s="24"/>
      <c r="I6" s="31"/>
      <c r="J6" s="2"/>
      <c r="K6" s="3"/>
      <c r="L6" s="3"/>
      <c r="M6" s="3"/>
      <c r="N6" s="3"/>
      <c r="O6" s="3"/>
      <c r="P6" s="4"/>
    </row>
    <row r="7" spans="1:16" ht="18" customHeight="1">
      <c r="A7" s="77" t="s">
        <v>115</v>
      </c>
      <c r="B7" s="84" t="s">
        <v>3</v>
      </c>
      <c r="C7" s="83"/>
      <c r="D7" s="83"/>
      <c r="E7" s="83"/>
      <c r="F7" s="83"/>
      <c r="G7" s="83"/>
      <c r="H7" s="83"/>
      <c r="I7" s="33" t="s">
        <v>116</v>
      </c>
      <c r="J7" s="85" t="s">
        <v>4</v>
      </c>
      <c r="K7" s="83"/>
      <c r="L7" s="83"/>
      <c r="M7" s="83"/>
      <c r="N7" s="83"/>
      <c r="O7" s="83"/>
      <c r="P7" s="83"/>
    </row>
    <row r="8" spans="1:16" ht="30" customHeight="1">
      <c r="A8" s="34" t="s">
        <v>117</v>
      </c>
      <c r="B8" s="34" t="s">
        <v>6</v>
      </c>
      <c r="C8" s="34" t="s">
        <v>7</v>
      </c>
      <c r="D8" s="34" t="s">
        <v>8</v>
      </c>
      <c r="E8" s="34" t="s">
        <v>9</v>
      </c>
      <c r="F8" s="34" t="s">
        <v>10</v>
      </c>
      <c r="G8" s="3"/>
      <c r="H8" s="24"/>
      <c r="I8" s="31"/>
      <c r="J8" s="2"/>
      <c r="K8" s="3"/>
      <c r="L8" s="3"/>
      <c r="M8" s="3"/>
      <c r="N8" s="3"/>
      <c r="O8" s="3"/>
      <c r="P8" s="4"/>
    </row>
    <row r="9" spans="1:16" ht="30" customHeight="1">
      <c r="A9" s="6" t="s">
        <v>13</v>
      </c>
      <c r="B9" s="35">
        <v>36</v>
      </c>
      <c r="C9" s="35">
        <v>72</v>
      </c>
      <c r="D9" s="35">
        <v>108</v>
      </c>
      <c r="E9" s="35">
        <v>144</v>
      </c>
      <c r="F9" s="36">
        <v>147.5</v>
      </c>
      <c r="G9" s="3"/>
      <c r="H9" s="24"/>
      <c r="I9" s="31"/>
      <c r="J9" s="35">
        <v>36</v>
      </c>
      <c r="K9" s="35">
        <v>72</v>
      </c>
      <c r="L9" s="35">
        <v>108</v>
      </c>
      <c r="M9" s="35">
        <v>144</v>
      </c>
      <c r="N9" s="36">
        <v>147.5</v>
      </c>
      <c r="O9" s="3"/>
      <c r="P9" s="4"/>
    </row>
    <row r="10" spans="1:16" ht="30" customHeight="1" thickBot="1">
      <c r="A10" s="78" t="s">
        <v>14</v>
      </c>
      <c r="B10" s="79">
        <v>56</v>
      </c>
      <c r="C10" s="79">
        <v>111</v>
      </c>
      <c r="D10" s="79">
        <v>167</v>
      </c>
      <c r="E10" s="79">
        <v>222</v>
      </c>
      <c r="F10" s="80">
        <v>226.5</v>
      </c>
      <c r="G10" s="3"/>
      <c r="H10" s="24"/>
      <c r="I10" s="31"/>
      <c r="J10" s="79">
        <v>56</v>
      </c>
      <c r="K10" s="79">
        <v>111</v>
      </c>
      <c r="L10" s="79">
        <v>167</v>
      </c>
      <c r="M10" s="79">
        <v>222</v>
      </c>
      <c r="N10" s="80">
        <v>226.5</v>
      </c>
      <c r="O10" s="3"/>
      <c r="P10" s="4"/>
    </row>
    <row r="11" spans="1:16" ht="30" customHeight="1" thickBot="1">
      <c r="A11" s="6" t="s">
        <v>15</v>
      </c>
      <c r="B11" s="36">
        <v>24.5</v>
      </c>
      <c r="C11" s="36">
        <v>48.5</v>
      </c>
      <c r="D11" s="36">
        <v>72.5</v>
      </c>
      <c r="E11" s="36">
        <v>96.5</v>
      </c>
      <c r="F11" s="35">
        <v>101</v>
      </c>
      <c r="G11" s="3"/>
      <c r="H11" s="24"/>
      <c r="I11" s="31"/>
      <c r="J11" s="36">
        <v>24.5</v>
      </c>
      <c r="K11" s="36">
        <v>48.5</v>
      </c>
      <c r="L11" s="36">
        <v>72.5</v>
      </c>
      <c r="M11" s="36">
        <v>96.5</v>
      </c>
      <c r="N11" s="35">
        <v>101</v>
      </c>
      <c r="O11" s="3"/>
      <c r="P11" s="4"/>
    </row>
    <row r="12" spans="1:16" ht="18" customHeight="1">
      <c r="A12" s="2"/>
      <c r="B12" s="3"/>
      <c r="C12" s="3"/>
      <c r="D12" s="3"/>
      <c r="E12" s="3"/>
      <c r="F12" s="3"/>
      <c r="G12" s="3"/>
      <c r="H12" s="24"/>
      <c r="I12" s="31"/>
      <c r="J12" s="2"/>
      <c r="K12" s="3"/>
      <c r="L12" s="3"/>
      <c r="M12" s="3"/>
      <c r="N12" s="3"/>
      <c r="O12" s="3"/>
      <c r="P12" s="4"/>
    </row>
    <row r="13" spans="1:16" ht="18" customHeight="1">
      <c r="A13" s="77" t="s">
        <v>115</v>
      </c>
      <c r="B13" s="84" t="s">
        <v>3</v>
      </c>
      <c r="C13" s="83"/>
      <c r="D13" s="83"/>
      <c r="E13" s="83"/>
      <c r="F13" s="83"/>
      <c r="G13" s="83"/>
      <c r="H13" s="83"/>
      <c r="I13" s="33" t="s">
        <v>116</v>
      </c>
      <c r="J13" s="85" t="s">
        <v>4</v>
      </c>
      <c r="K13" s="83"/>
      <c r="L13" s="83"/>
      <c r="M13" s="83"/>
      <c r="N13" s="83"/>
      <c r="O13" s="83"/>
      <c r="P13" s="83"/>
    </row>
    <row r="14" spans="1:16" ht="18" customHeight="1">
      <c r="A14" s="2"/>
      <c r="B14" s="3"/>
      <c r="C14" s="3"/>
      <c r="D14" s="3"/>
      <c r="E14" s="3"/>
      <c r="F14" s="3"/>
      <c r="G14" s="3"/>
      <c r="H14" s="24"/>
      <c r="I14" s="31"/>
      <c r="J14" s="2"/>
      <c r="K14" s="3"/>
      <c r="L14" s="3"/>
      <c r="M14" s="3"/>
      <c r="N14" s="3"/>
      <c r="O14" s="3"/>
      <c r="P14" s="4"/>
    </row>
    <row r="15" spans="1:16" ht="18" customHeight="1">
      <c r="A15" s="81" t="s">
        <v>16</v>
      </c>
      <c r="B15" s="3"/>
      <c r="C15" s="3"/>
      <c r="D15" s="3"/>
      <c r="E15" s="3"/>
      <c r="F15" s="3"/>
      <c r="G15" s="3"/>
      <c r="H15" s="24"/>
      <c r="I15" s="31"/>
      <c r="J15" s="2"/>
      <c r="K15" s="3"/>
      <c r="L15" s="3"/>
      <c r="M15" s="3"/>
      <c r="N15" s="3"/>
      <c r="O15" s="3"/>
      <c r="P15" s="4"/>
    </row>
    <row r="16" spans="1:16" ht="30" customHeight="1">
      <c r="A16" s="34" t="s">
        <v>17</v>
      </c>
      <c r="B16" s="34" t="s">
        <v>6</v>
      </c>
      <c r="C16" s="34" t="s">
        <v>7</v>
      </c>
      <c r="D16" s="34" t="s">
        <v>8</v>
      </c>
      <c r="E16" s="34" t="s">
        <v>9</v>
      </c>
      <c r="F16" s="34" t="s">
        <v>10</v>
      </c>
      <c r="G16" s="3"/>
      <c r="H16" s="24"/>
      <c r="I16" s="31"/>
      <c r="J16" s="2"/>
      <c r="K16" s="3"/>
      <c r="L16" s="3"/>
      <c r="M16" s="3"/>
      <c r="N16" s="3"/>
      <c r="O16" s="3"/>
      <c r="P16" s="4"/>
    </row>
    <row r="17" spans="1:16" ht="30" customHeight="1">
      <c r="A17" s="6" t="s">
        <v>13</v>
      </c>
      <c r="B17" s="35">
        <v>43</v>
      </c>
      <c r="C17" s="35">
        <v>86</v>
      </c>
      <c r="D17" s="35">
        <v>129</v>
      </c>
      <c r="E17" s="35">
        <v>172</v>
      </c>
      <c r="F17" s="36">
        <v>179.5</v>
      </c>
      <c r="G17" s="3"/>
      <c r="H17" s="24"/>
      <c r="I17" s="31"/>
      <c r="J17" s="35">
        <v>43</v>
      </c>
      <c r="K17" s="35">
        <v>86</v>
      </c>
      <c r="L17" s="35">
        <v>129</v>
      </c>
      <c r="M17" s="35">
        <v>172</v>
      </c>
      <c r="N17" s="36">
        <v>179.5</v>
      </c>
      <c r="O17" s="3"/>
      <c r="P17" s="4"/>
    </row>
    <row r="18" spans="1:16" ht="30" customHeight="1">
      <c r="A18" s="78" t="s">
        <v>14</v>
      </c>
      <c r="B18" s="79">
        <v>63</v>
      </c>
      <c r="C18" s="79">
        <v>125</v>
      </c>
      <c r="D18" s="79">
        <v>188</v>
      </c>
      <c r="E18" s="79">
        <v>250</v>
      </c>
      <c r="F18" s="80">
        <v>258.5</v>
      </c>
      <c r="G18" s="3"/>
      <c r="H18" s="24"/>
      <c r="I18" s="31"/>
      <c r="J18" s="79">
        <v>63</v>
      </c>
      <c r="K18" s="79">
        <v>125</v>
      </c>
      <c r="L18" s="79">
        <v>188</v>
      </c>
      <c r="M18" s="79">
        <v>250</v>
      </c>
      <c r="N18" s="80">
        <v>258.5</v>
      </c>
      <c r="O18" s="3"/>
      <c r="P18" s="4"/>
    </row>
    <row r="19" spans="1:16" ht="30" customHeight="1">
      <c r="A19" s="6" t="s">
        <v>15</v>
      </c>
      <c r="B19" s="36">
        <v>31.5</v>
      </c>
      <c r="C19" s="36">
        <v>62.5</v>
      </c>
      <c r="D19" s="36">
        <v>93.5</v>
      </c>
      <c r="E19" s="36">
        <v>124.5</v>
      </c>
      <c r="F19" s="35">
        <v>133</v>
      </c>
      <c r="G19" s="3"/>
      <c r="H19" s="24"/>
      <c r="I19" s="31"/>
      <c r="J19" s="36">
        <v>31.5</v>
      </c>
      <c r="K19" s="36">
        <v>62.5</v>
      </c>
      <c r="L19" s="36">
        <v>93.5</v>
      </c>
      <c r="M19" s="36">
        <v>124.5</v>
      </c>
      <c r="N19" s="35">
        <v>133</v>
      </c>
      <c r="O19" s="3"/>
      <c r="P19" s="4"/>
    </row>
    <row r="20" spans="1:16" ht="18" customHeight="1">
      <c r="A20" s="17" t="s">
        <v>18</v>
      </c>
      <c r="B20" s="45">
        <v>7</v>
      </c>
      <c r="C20" s="45">
        <v>14</v>
      </c>
      <c r="D20" s="45">
        <v>21</v>
      </c>
      <c r="E20" s="45">
        <v>28</v>
      </c>
      <c r="F20" s="45">
        <v>32</v>
      </c>
      <c r="G20" s="3"/>
      <c r="H20" s="24"/>
      <c r="I20" s="31"/>
      <c r="J20" s="45">
        <v>7</v>
      </c>
      <c r="K20" s="45">
        <v>14</v>
      </c>
      <c r="L20" s="45">
        <v>21</v>
      </c>
      <c r="M20" s="45">
        <v>28</v>
      </c>
      <c r="N20" s="45">
        <v>32</v>
      </c>
      <c r="O20" s="3"/>
      <c r="P20" s="4"/>
    </row>
    <row r="21" spans="1:16" ht="18" customHeight="1" thickBot="1">
      <c r="A21" s="2"/>
      <c r="B21" s="3"/>
      <c r="C21" s="3"/>
      <c r="D21" s="3"/>
      <c r="E21" s="3"/>
      <c r="F21" s="3"/>
      <c r="G21" s="3"/>
      <c r="H21" s="24"/>
      <c r="I21" s="31"/>
      <c r="J21" s="2"/>
      <c r="K21" s="3"/>
      <c r="L21" s="3"/>
      <c r="M21" s="3"/>
      <c r="N21" s="3"/>
      <c r="O21" s="3"/>
      <c r="P21" s="4"/>
    </row>
    <row r="22" spans="1:16" ht="18" customHeight="1" thickBot="1">
      <c r="A22" s="2"/>
      <c r="B22" s="3"/>
      <c r="C22" s="3"/>
      <c r="D22" s="3"/>
      <c r="E22" s="3"/>
      <c r="F22" s="3"/>
      <c r="G22" s="3"/>
      <c r="H22" s="24"/>
      <c r="I22" s="31"/>
      <c r="J22" s="2"/>
      <c r="K22" s="3"/>
      <c r="L22" s="3"/>
      <c r="M22" s="3"/>
      <c r="N22" s="3"/>
      <c r="O22" s="3"/>
      <c r="P22" s="4"/>
    </row>
    <row r="23" spans="1:16" ht="18" customHeight="1">
      <c r="A23" s="54" t="s">
        <v>28</v>
      </c>
      <c r="B23" s="3"/>
      <c r="C23" s="3"/>
      <c r="D23" s="3"/>
      <c r="E23" s="3"/>
      <c r="F23" s="3"/>
      <c r="G23" s="3"/>
      <c r="H23" s="24"/>
      <c r="I23" s="31"/>
      <c r="J23" s="2"/>
      <c r="K23" s="3"/>
      <c r="L23" s="3"/>
      <c r="M23" s="3"/>
      <c r="N23" s="3"/>
      <c r="O23" s="3"/>
      <c r="P23" s="4"/>
    </row>
    <row r="24" spans="1:16" ht="18" customHeight="1">
      <c r="A24" s="55"/>
      <c r="B24" s="84" t="s">
        <v>3</v>
      </c>
      <c r="C24" s="83"/>
      <c r="D24" s="83"/>
      <c r="E24" s="83"/>
      <c r="F24" s="83"/>
      <c r="G24" s="83"/>
      <c r="H24" s="83"/>
      <c r="I24" s="33" t="s">
        <v>116</v>
      </c>
      <c r="J24" s="85" t="s">
        <v>4</v>
      </c>
      <c r="K24" s="83"/>
      <c r="L24" s="83"/>
      <c r="M24" s="83"/>
      <c r="N24" s="83"/>
      <c r="O24" s="83"/>
      <c r="P24" s="83"/>
    </row>
    <row r="25" spans="1:16" ht="18" customHeight="1">
      <c r="A25" s="2"/>
      <c r="B25" s="34" t="s">
        <v>6</v>
      </c>
      <c r="C25" s="34" t="s">
        <v>7</v>
      </c>
      <c r="D25" s="34" t="s">
        <v>8</v>
      </c>
      <c r="E25" s="34" t="s">
        <v>9</v>
      </c>
      <c r="F25" s="34" t="s">
        <v>10</v>
      </c>
      <c r="G25" s="34" t="s">
        <v>11</v>
      </c>
      <c r="H25" s="34" t="s">
        <v>12</v>
      </c>
      <c r="I25" s="31"/>
      <c r="J25" s="2"/>
      <c r="K25" s="3"/>
      <c r="L25" s="3"/>
      <c r="M25" s="3"/>
      <c r="N25" s="3"/>
      <c r="O25" s="3"/>
      <c r="P25" s="4"/>
    </row>
    <row r="26" spans="1:16" ht="30" customHeight="1" thickBot="1">
      <c r="A26" s="57" t="s">
        <v>118</v>
      </c>
      <c r="B26" s="45">
        <v>61</v>
      </c>
      <c r="C26" s="45">
        <v>122</v>
      </c>
      <c r="D26" s="45">
        <v>183</v>
      </c>
      <c r="E26" s="45">
        <v>244</v>
      </c>
      <c r="F26" s="45">
        <v>305</v>
      </c>
      <c r="G26" s="45">
        <v>366</v>
      </c>
      <c r="H26" s="46">
        <v>427</v>
      </c>
      <c r="I26" s="31"/>
      <c r="J26" s="45">
        <v>61</v>
      </c>
      <c r="K26" s="45">
        <v>122</v>
      </c>
      <c r="L26" s="45">
        <v>183</v>
      </c>
      <c r="M26" s="45">
        <v>244</v>
      </c>
      <c r="N26" s="45">
        <v>305</v>
      </c>
      <c r="O26" s="45">
        <v>366</v>
      </c>
      <c r="P26" s="45">
        <v>427</v>
      </c>
    </row>
    <row r="27" spans="1:16" ht="18" customHeight="1" thickBot="1">
      <c r="A27" s="57" t="s">
        <v>119</v>
      </c>
      <c r="B27" s="35">
        <v>75</v>
      </c>
      <c r="C27" s="35">
        <v>150</v>
      </c>
      <c r="D27" s="35">
        <v>225</v>
      </c>
      <c r="E27" s="35">
        <v>300</v>
      </c>
      <c r="F27" s="35">
        <v>375</v>
      </c>
      <c r="G27" s="35">
        <v>450</v>
      </c>
      <c r="H27" s="56">
        <v>525</v>
      </c>
      <c r="I27" s="31"/>
      <c r="J27" s="35">
        <v>75</v>
      </c>
      <c r="K27" s="35">
        <v>150</v>
      </c>
      <c r="L27" s="35">
        <v>225</v>
      </c>
      <c r="M27" s="35">
        <v>300</v>
      </c>
      <c r="N27" s="35">
        <v>375</v>
      </c>
      <c r="O27" s="35">
        <v>450</v>
      </c>
      <c r="P27" s="35">
        <v>525</v>
      </c>
    </row>
    <row r="28" spans="1:16" ht="18" customHeight="1">
      <c r="A28" s="2"/>
      <c r="B28" s="3"/>
      <c r="C28" s="3"/>
      <c r="D28" s="3"/>
      <c r="E28" s="3"/>
      <c r="F28" s="3"/>
      <c r="G28" s="3"/>
      <c r="H28" s="24"/>
      <c r="I28" s="31"/>
      <c r="J28" s="2"/>
      <c r="K28" s="3"/>
      <c r="L28" s="3"/>
      <c r="M28" s="3"/>
      <c r="N28" s="3"/>
      <c r="O28" s="3"/>
      <c r="P28" s="4"/>
    </row>
    <row r="29" spans="1:16" ht="18" customHeight="1">
      <c r="A29" s="77" t="s">
        <v>115</v>
      </c>
      <c r="B29" s="84" t="s">
        <v>3</v>
      </c>
      <c r="C29" s="83"/>
      <c r="D29" s="83"/>
      <c r="E29" s="83"/>
      <c r="F29" s="83"/>
      <c r="G29" s="83"/>
      <c r="H29" s="83"/>
      <c r="I29" s="33" t="s">
        <v>116</v>
      </c>
      <c r="J29" s="85" t="s">
        <v>4</v>
      </c>
      <c r="K29" s="83"/>
      <c r="L29" s="83"/>
      <c r="M29" s="83"/>
      <c r="N29" s="83"/>
      <c r="O29" s="83"/>
      <c r="P29" s="83"/>
    </row>
    <row r="30" spans="1:16" ht="18" customHeight="1">
      <c r="A30" s="2"/>
      <c r="B30" s="3"/>
      <c r="C30" s="3"/>
      <c r="D30" s="3"/>
      <c r="E30" s="3"/>
      <c r="F30" s="3"/>
      <c r="G30" s="3"/>
      <c r="H30" s="24"/>
      <c r="I30" s="31"/>
      <c r="J30" s="2"/>
      <c r="K30" s="3"/>
      <c r="L30" s="3"/>
      <c r="M30" s="3"/>
      <c r="N30" s="3"/>
      <c r="O30" s="3"/>
      <c r="P30" s="4"/>
    </row>
    <row r="31" spans="1:16" ht="30" customHeight="1">
      <c r="A31" s="34" t="s">
        <v>40</v>
      </c>
      <c r="B31" s="34" t="s">
        <v>34</v>
      </c>
      <c r="C31" s="34" t="s">
        <v>35</v>
      </c>
      <c r="D31" s="34" t="s">
        <v>36</v>
      </c>
      <c r="E31" s="34" t="s">
        <v>37</v>
      </c>
      <c r="F31" s="34" t="s">
        <v>38</v>
      </c>
      <c r="G31" s="34" t="s">
        <v>39</v>
      </c>
      <c r="H31" s="24"/>
      <c r="I31" s="53" t="s">
        <v>40</v>
      </c>
      <c r="J31" s="34" t="s">
        <v>34</v>
      </c>
      <c r="K31" s="34" t="s">
        <v>35</v>
      </c>
      <c r="L31" s="34" t="s">
        <v>36</v>
      </c>
      <c r="M31" s="34" t="s">
        <v>37</v>
      </c>
      <c r="N31" s="34" t="s">
        <v>38</v>
      </c>
      <c r="O31" s="34" t="s">
        <v>39</v>
      </c>
      <c r="P31" s="4"/>
    </row>
    <row r="32" spans="1:16" ht="18" customHeight="1">
      <c r="A32" s="17" t="s">
        <v>41</v>
      </c>
      <c r="B32" s="45">
        <v>70</v>
      </c>
      <c r="C32" s="45">
        <v>75</v>
      </c>
      <c r="D32" s="45">
        <v>80</v>
      </c>
      <c r="E32" s="45">
        <v>85</v>
      </c>
      <c r="F32" s="45">
        <v>90</v>
      </c>
      <c r="G32" s="45">
        <v>95</v>
      </c>
      <c r="H32" s="24"/>
      <c r="I32" s="31" t="s">
        <v>41</v>
      </c>
      <c r="J32" s="45">
        <v>80</v>
      </c>
      <c r="K32" s="45">
        <v>85</v>
      </c>
      <c r="L32" s="45">
        <v>90</v>
      </c>
      <c r="M32" s="45">
        <v>95</v>
      </c>
      <c r="N32" s="45">
        <v>100</v>
      </c>
      <c r="O32" s="45">
        <v>105</v>
      </c>
      <c r="P32" s="4"/>
    </row>
    <row r="33" spans="1:16" ht="18" customHeight="1">
      <c r="A33" s="6" t="s">
        <v>42</v>
      </c>
      <c r="B33" s="35">
        <v>140</v>
      </c>
      <c r="C33" s="35">
        <v>145</v>
      </c>
      <c r="D33" s="35">
        <v>150</v>
      </c>
      <c r="E33" s="35">
        <v>155</v>
      </c>
      <c r="F33" s="35">
        <v>160</v>
      </c>
      <c r="G33" s="35">
        <v>165</v>
      </c>
      <c r="H33" s="24"/>
      <c r="I33" s="31" t="s">
        <v>42</v>
      </c>
      <c r="J33" s="35">
        <v>160</v>
      </c>
      <c r="K33" s="35">
        <v>165</v>
      </c>
      <c r="L33" s="35">
        <v>170</v>
      </c>
      <c r="M33" s="35">
        <v>175</v>
      </c>
      <c r="N33" s="35">
        <v>180</v>
      </c>
      <c r="O33" s="35">
        <v>185</v>
      </c>
      <c r="P33" s="4"/>
    </row>
    <row r="34" spans="1:16" ht="18" customHeight="1">
      <c r="A34" s="17" t="s">
        <v>43</v>
      </c>
      <c r="B34" s="45">
        <v>210</v>
      </c>
      <c r="C34" s="45">
        <v>215</v>
      </c>
      <c r="D34" s="45">
        <v>220</v>
      </c>
      <c r="E34" s="45">
        <v>225</v>
      </c>
      <c r="F34" s="45">
        <v>230</v>
      </c>
      <c r="G34" s="45">
        <v>235</v>
      </c>
      <c r="H34" s="24"/>
      <c r="I34" s="31" t="s">
        <v>43</v>
      </c>
      <c r="J34" s="45">
        <v>240</v>
      </c>
      <c r="K34" s="45">
        <v>245</v>
      </c>
      <c r="L34" s="45">
        <v>250</v>
      </c>
      <c r="M34" s="45">
        <v>255</v>
      </c>
      <c r="N34" s="45">
        <v>260</v>
      </c>
      <c r="O34" s="45">
        <v>265</v>
      </c>
      <c r="P34" s="4"/>
    </row>
    <row r="35" spans="1:16" ht="18" customHeight="1">
      <c r="A35" s="6" t="s">
        <v>44</v>
      </c>
      <c r="B35" s="35">
        <v>280</v>
      </c>
      <c r="C35" s="35">
        <v>285</v>
      </c>
      <c r="D35" s="35">
        <v>290</v>
      </c>
      <c r="E35" s="35">
        <v>295</v>
      </c>
      <c r="F35" s="35">
        <v>300</v>
      </c>
      <c r="G35" s="35">
        <v>305</v>
      </c>
      <c r="H35" s="24"/>
      <c r="I35" s="31" t="s">
        <v>44</v>
      </c>
      <c r="J35" s="35">
        <v>320</v>
      </c>
      <c r="K35" s="35">
        <v>325</v>
      </c>
      <c r="L35" s="35">
        <v>330</v>
      </c>
      <c r="M35" s="35">
        <v>335</v>
      </c>
      <c r="N35" s="35">
        <v>340</v>
      </c>
      <c r="O35" s="35">
        <v>345</v>
      </c>
      <c r="P35" s="4"/>
    </row>
    <row r="36" spans="1:16" ht="18" customHeight="1">
      <c r="A36" s="17" t="s">
        <v>45</v>
      </c>
      <c r="B36" s="45">
        <v>350</v>
      </c>
      <c r="C36" s="45">
        <v>355</v>
      </c>
      <c r="D36" s="45">
        <v>360</v>
      </c>
      <c r="E36" s="45">
        <v>365</v>
      </c>
      <c r="F36" s="45">
        <v>370</v>
      </c>
      <c r="G36" s="45">
        <v>375</v>
      </c>
      <c r="H36" s="24"/>
      <c r="I36" s="31" t="s">
        <v>45</v>
      </c>
      <c r="J36" s="45">
        <v>400</v>
      </c>
      <c r="K36" s="45">
        <v>405</v>
      </c>
      <c r="L36" s="45">
        <v>410</v>
      </c>
      <c r="M36" s="45">
        <v>415</v>
      </c>
      <c r="N36" s="45">
        <v>420</v>
      </c>
      <c r="O36" s="45">
        <v>425</v>
      </c>
      <c r="P36" s="4"/>
    </row>
    <row r="37" spans="1:16" ht="18" customHeight="1">
      <c r="A37" s="6" t="s">
        <v>46</v>
      </c>
      <c r="B37" s="35">
        <v>420</v>
      </c>
      <c r="C37" s="35">
        <v>425</v>
      </c>
      <c r="D37" s="35">
        <v>430</v>
      </c>
      <c r="E37" s="35">
        <v>435</v>
      </c>
      <c r="F37" s="35">
        <v>440</v>
      </c>
      <c r="G37" s="35">
        <v>445</v>
      </c>
      <c r="H37" s="24"/>
      <c r="I37" s="31" t="s">
        <v>46</v>
      </c>
      <c r="J37" s="35">
        <v>480</v>
      </c>
      <c r="K37" s="35">
        <v>485</v>
      </c>
      <c r="L37" s="35">
        <v>490</v>
      </c>
      <c r="M37" s="35">
        <v>495</v>
      </c>
      <c r="N37" s="35">
        <v>500</v>
      </c>
      <c r="O37" s="35">
        <v>505</v>
      </c>
      <c r="P37" s="4"/>
    </row>
    <row r="38" spans="1:16" ht="18" customHeight="1">
      <c r="A38" s="2"/>
      <c r="B38" s="3"/>
      <c r="C38" s="3"/>
      <c r="D38" s="3"/>
      <c r="E38" s="3"/>
      <c r="F38" s="3"/>
      <c r="G38" s="3"/>
      <c r="H38" s="24"/>
      <c r="I38" s="31"/>
      <c r="J38" s="2"/>
      <c r="K38" s="3"/>
      <c r="L38" s="3"/>
      <c r="M38" s="3"/>
      <c r="N38" s="3"/>
      <c r="O38" s="3"/>
      <c r="P38" s="4"/>
    </row>
    <row r="39" spans="1:16" ht="18" customHeight="1">
      <c r="A39" s="2"/>
      <c r="B39" s="3"/>
      <c r="C39" s="3"/>
      <c r="D39" s="3"/>
      <c r="E39" s="3"/>
      <c r="F39" s="3"/>
      <c r="G39" s="3"/>
      <c r="H39" s="24"/>
      <c r="I39" s="31"/>
      <c r="J39" s="2"/>
      <c r="K39" s="3"/>
      <c r="L39" s="3"/>
      <c r="M39" s="3"/>
      <c r="N39" s="3"/>
      <c r="O39" s="3"/>
      <c r="P39" s="4"/>
    </row>
    <row r="40" spans="1:16" ht="18" customHeight="1" thickBot="1">
      <c r="A40" s="2"/>
      <c r="B40" s="3"/>
      <c r="C40" s="3"/>
      <c r="D40" s="3"/>
      <c r="E40" s="3"/>
      <c r="F40" s="3"/>
      <c r="G40" s="3"/>
      <c r="H40" s="24"/>
      <c r="I40" s="31"/>
      <c r="J40" s="2"/>
      <c r="K40" s="3"/>
      <c r="L40" s="3"/>
      <c r="M40" s="3"/>
      <c r="N40" s="3"/>
      <c r="O40" s="3"/>
      <c r="P40" s="4"/>
    </row>
    <row r="41" spans="1:16" ht="18" customHeight="1" thickBot="1">
      <c r="A41" s="54" t="s">
        <v>48</v>
      </c>
      <c r="B41" s="3"/>
      <c r="C41" s="3"/>
      <c r="D41" s="3"/>
      <c r="E41" s="3"/>
      <c r="F41" s="3"/>
      <c r="G41" s="3"/>
      <c r="H41" s="24"/>
      <c r="I41" s="31"/>
      <c r="J41" s="2"/>
      <c r="K41" s="3"/>
      <c r="L41" s="3"/>
      <c r="M41" s="3"/>
      <c r="N41" s="3"/>
      <c r="O41" s="3"/>
      <c r="P41" s="4"/>
    </row>
    <row r="42" spans="1:16" ht="18" customHeight="1">
      <c r="A42" s="2"/>
      <c r="B42" s="3"/>
      <c r="C42" s="3"/>
      <c r="D42" s="3"/>
      <c r="E42" s="3"/>
      <c r="F42" s="3"/>
      <c r="G42" s="3"/>
      <c r="H42" s="24"/>
      <c r="I42" s="31"/>
      <c r="J42" s="2"/>
      <c r="K42" s="3"/>
      <c r="L42" s="3"/>
      <c r="M42" s="3"/>
      <c r="N42" s="3"/>
      <c r="O42" s="3"/>
      <c r="P42" s="4"/>
    </row>
    <row r="43" spans="1:16" ht="18" customHeight="1">
      <c r="A43" s="77" t="s">
        <v>115</v>
      </c>
      <c r="B43" s="84" t="s">
        <v>3</v>
      </c>
      <c r="C43" s="83"/>
      <c r="D43" s="83"/>
      <c r="E43" s="83"/>
      <c r="F43" s="83"/>
      <c r="G43" s="83"/>
      <c r="H43" s="83"/>
      <c r="I43" s="33" t="s">
        <v>116</v>
      </c>
      <c r="J43" s="85" t="s">
        <v>4</v>
      </c>
      <c r="K43" s="83"/>
      <c r="L43" s="83"/>
      <c r="M43" s="83"/>
      <c r="N43" s="83"/>
      <c r="O43" s="83"/>
      <c r="P43" s="83"/>
    </row>
    <row r="44" spans="1:16" ht="18" customHeight="1">
      <c r="A44" s="34" t="s">
        <v>48</v>
      </c>
      <c r="B44" s="34" t="s">
        <v>6</v>
      </c>
      <c r="C44" s="34" t="s">
        <v>7</v>
      </c>
      <c r="D44" s="34" t="s">
        <v>8</v>
      </c>
      <c r="E44" s="34" t="s">
        <v>9</v>
      </c>
      <c r="F44" s="34" t="s">
        <v>10</v>
      </c>
      <c r="G44" s="3"/>
      <c r="H44" s="24"/>
      <c r="I44" s="31"/>
      <c r="J44" s="2"/>
      <c r="K44" s="3"/>
      <c r="L44" s="3"/>
      <c r="M44" s="3"/>
      <c r="N44" s="3"/>
      <c r="O44" s="3"/>
      <c r="P44" s="4"/>
    </row>
    <row r="45" spans="1:16" ht="18" customHeight="1">
      <c r="A45" s="6" t="s">
        <v>120</v>
      </c>
      <c r="B45" s="35">
        <v>45</v>
      </c>
      <c r="C45" s="35">
        <v>90</v>
      </c>
      <c r="D45" s="35">
        <v>135</v>
      </c>
      <c r="E45" s="35">
        <v>180</v>
      </c>
      <c r="F45" s="35">
        <v>225</v>
      </c>
      <c r="G45" s="3"/>
      <c r="H45" s="24"/>
      <c r="I45" s="31"/>
      <c r="J45" s="35">
        <v>45</v>
      </c>
      <c r="K45" s="35">
        <v>90</v>
      </c>
      <c r="L45" s="35">
        <v>135</v>
      </c>
      <c r="M45" s="35">
        <v>180</v>
      </c>
      <c r="N45" s="35">
        <v>225</v>
      </c>
      <c r="O45" s="3"/>
      <c r="P45" s="4"/>
    </row>
    <row r="46" spans="1:16" ht="18" customHeight="1">
      <c r="A46" s="17" t="s">
        <v>121</v>
      </c>
      <c r="B46" s="45">
        <v>26</v>
      </c>
      <c r="C46" s="45">
        <v>52</v>
      </c>
      <c r="D46" s="45">
        <v>78</v>
      </c>
      <c r="E46" s="45">
        <v>104</v>
      </c>
      <c r="F46" s="45">
        <v>130</v>
      </c>
      <c r="G46" s="3"/>
      <c r="H46" s="24"/>
      <c r="I46" s="31"/>
      <c r="J46" s="45">
        <v>26</v>
      </c>
      <c r="K46" s="45">
        <v>52</v>
      </c>
      <c r="L46" s="45">
        <v>78</v>
      </c>
      <c r="M46" s="45">
        <v>104</v>
      </c>
      <c r="N46" s="45">
        <v>130</v>
      </c>
      <c r="O46" s="3"/>
      <c r="P46" s="4"/>
    </row>
  </sheetData>
  <mergeCells count="11">
    <mergeCell ref="B7:H7"/>
    <mergeCell ref="A3:P3"/>
    <mergeCell ref="J7:P7"/>
    <mergeCell ref="J24:P24"/>
    <mergeCell ref="J29:P29"/>
    <mergeCell ref="B13:H13"/>
    <mergeCell ref="J13:P13"/>
    <mergeCell ref="B43:H43"/>
    <mergeCell ref="B24:H24"/>
    <mergeCell ref="J43:P43"/>
    <mergeCell ref="B29:H29"/>
  </mergeCells>
  <pageMargins left="0.3" right="0.3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BAQUEIRA </vt:lpstr>
      <vt:lpstr>SIERRA NEVADA</vt:lpstr>
      <vt:lpstr>VALDESQUI</vt:lpstr>
      <vt:lpstr>LA PINILLA</vt:lpstr>
      <vt:lpstr>'BAQUEIRA '!Títulos_a_imprimir</vt:lpstr>
      <vt:lpstr>'LA PINILLA'!Títulos_a_imprimir</vt:lpstr>
      <vt:lpstr>'SIERRA NEVADA'!Títulos_a_imprimir</vt:lpstr>
      <vt:lpstr>VALDESQUI!Títulos_a_imprimir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reservas@skicenter.es</dc:creator>
  <cp:lastModifiedBy>reservas@skicenter.es</cp:lastModifiedBy>
  <dcterms:created xsi:type="dcterms:W3CDTF">2026-03-16T14:12:13Z</dcterms:created>
  <dcterms:modified xsi:type="dcterms:W3CDTF">2026-03-16T15:51:30Z</dcterms:modified>
</cp:coreProperties>
</file>